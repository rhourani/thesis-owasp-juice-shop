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tuni\thesis\Backups\"/>
    </mc:Choice>
  </mc:AlternateContent>
  <xr:revisionPtr revIDLastSave="0" documentId="8_{EDC8CF0E-8D2E-44D2-B031-352472971A34}" xr6:coauthVersionLast="47" xr6:coauthVersionMax="47" xr10:uidLastSave="{00000000-0000-0000-0000-000000000000}"/>
  <bookViews>
    <workbookView xWindow="-108" yWindow="-108" windowWidth="23256" windowHeight="12456" firstSheet="3" activeTab="5" xr2:uid="{ABA23777-0099-41EF-9145-A32B7360B0FB}"/>
  </bookViews>
  <sheets>
    <sheet name="Snyk" sheetId="1" r:id="rId1"/>
    <sheet name="SonarQube" sheetId="3" r:id="rId2"/>
    <sheet name="Dependencies" sheetId="2" r:id="rId3"/>
    <sheet name="Offical juice shop percentages" sheetId="4" r:id="rId4"/>
    <sheet name="Snyk percentage" sheetId="5" r:id="rId5"/>
    <sheet name="Sonar percentage" sheetId="6" r:id="rId6"/>
    <sheet name="Sheet1" sheetId="7" r:id="rId7"/>
  </sheets>
  <definedNames>
    <definedName name="_xlnm._FilterDatabase" localSheetId="2" hidden="1">Dependencies!$A$1:$X$1</definedName>
    <definedName name="_xlnm._FilterDatabase" localSheetId="0" hidden="1">Snyk!$A$1:$O$273</definedName>
    <definedName name="_xlnm._FilterDatabase" localSheetId="1" hidden="1">SonarQube!$A$1:$Y$333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6" l="1"/>
  <c r="R13" i="6"/>
  <c r="R14" i="6"/>
  <c r="R15" i="6"/>
  <c r="R16" i="6"/>
  <c r="R12" i="6"/>
  <c r="R11" i="6"/>
  <c r="R10" i="6"/>
  <c r="R9" i="6"/>
  <c r="R8" i="6"/>
  <c r="R7" i="6"/>
  <c r="R6" i="6"/>
  <c r="R5" i="6"/>
  <c r="R4" i="6"/>
  <c r="R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3" i="6"/>
  <c r="S3" i="6" s="1"/>
  <c r="P2" i="6"/>
  <c r="W2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3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2" i="5"/>
  <c r="D3" i="5"/>
  <c r="S4" i="6" l="1"/>
  <c r="S9" i="6"/>
  <c r="S12" i="6"/>
  <c r="S5" i="6"/>
  <c r="S10" i="6"/>
  <c r="S13" i="6"/>
  <c r="S15" i="6"/>
  <c r="S6" i="6"/>
  <c r="S8" i="6"/>
  <c r="S11" i="6"/>
  <c r="S14" i="6"/>
  <c r="S2" i="6"/>
  <c r="S7" i="6"/>
  <c r="S16" i="6"/>
</calcChain>
</file>

<file path=xl/sharedStrings.xml><?xml version="1.0" encoding="utf-8"?>
<sst xmlns="http://schemas.openxmlformats.org/spreadsheetml/2006/main" count="6846" uniqueCount="393">
  <si>
    <t>Vulnerability</t>
  </si>
  <si>
    <t>Severity</t>
  </si>
  <si>
    <t>File path</t>
  </si>
  <si>
    <t>Line number</t>
  </si>
  <si>
    <t>Direct Link on Github</t>
  </si>
  <si>
    <t>Vaild</t>
  </si>
  <si>
    <t>False positive</t>
  </si>
  <si>
    <t>Is Duplicate</t>
  </si>
  <si>
    <t>Reported root cause category</t>
  </si>
  <si>
    <t>Correct root cause category</t>
  </si>
  <si>
    <t>CWE</t>
  </si>
  <si>
    <t>Tool</t>
  </si>
  <si>
    <t>Other tool reported the vulnerabilitiy</t>
  </si>
  <si>
    <t>Explaination is useful or misleading</t>
  </si>
  <si>
    <t>Notes</t>
  </si>
  <si>
    <t>Confirmed</t>
  </si>
  <si>
    <t>Root cause category</t>
  </si>
  <si>
    <t>Explaination usefulness</t>
  </si>
  <si>
    <t>Severiity list</t>
  </si>
  <si>
    <t>Label</t>
  </si>
  <si>
    <t>Criteria</t>
  </si>
  <si>
    <t>Hardcoded Secret</t>
  </si>
  <si>
    <t>High</t>
  </si>
  <si>
    <t>lib/insecurity.ts</t>
  </si>
  <si>
    <t>thesis-owasp-juice-shop/lib/insecurity.ts at 8f016f0f701d767d9a5fa3b225bb7f1759a06429 · rhourani/thesis-owasp-juice-shop</t>
  </si>
  <si>
    <t>Yes</t>
  </si>
  <si>
    <t>Hardcoded secrets</t>
  </si>
  <si>
    <t>Snyk</t>
  </si>
  <si>
    <t>Low usefulness</t>
  </si>
  <si>
    <t>The hardcoded value is a placeholder for a public key, Snyk advice to generate it randomly.</t>
  </si>
  <si>
    <t>Not useful</t>
  </si>
  <si>
    <t>Critical</t>
  </si>
  <si>
    <t>Vague, generic, or misleading. No actionable info.</t>
  </si>
  <si>
    <t>Hardcoded Non-Cryptographic Secret</t>
  </si>
  <si>
    <t>Moderate usefulness</t>
  </si>
  <si>
    <t xml:space="preserve">Duplication of previous record. Different title. </t>
  </si>
  <si>
    <t>Sonar</t>
  </si>
  <si>
    <t>No</t>
  </si>
  <si>
    <t>NoSQL Injection</t>
  </si>
  <si>
    <t>Mentions the issue but lacks context, technical detail, or remediation.</t>
  </si>
  <si>
    <t>The hardcoded value is a private key, Snyk advice to generate it randomly.</t>
  </si>
  <si>
    <t>Unknown</t>
  </si>
  <si>
    <t>Path Traversal</t>
  </si>
  <si>
    <t>Medium</t>
  </si>
  <si>
    <t>Explains the issue clearly but limited in depth or missing exploitability context.</t>
  </si>
  <si>
    <t>Useful</t>
  </si>
  <si>
    <t>Low</t>
  </si>
  <si>
    <t>Provides clear technical explanation and remediation steps.</t>
  </si>
  <si>
    <t>Highly useful</t>
  </si>
  <si>
    <t>Server-Side Request Forgery (SSRF)</t>
  </si>
  <si>
    <t>Comprehensive: includes technical detail, exploit scenario and reproducible remediation guidance.</t>
  </si>
  <si>
    <t>routes/likeProductReviews.ts</t>
  </si>
  <si>
    <t>thesis-owasp-juice-shop/routes/likeProductReviews.ts at 8f016f0f701d767d9a5fa3b225bb7f1759a06429 · rhourani/thesis-owasp-juice-shop</t>
  </si>
  <si>
    <t>SQL Injection</t>
  </si>
  <si>
    <t>https://github.com/rhourani/thesis-owasp-juice-shop/tree/8f016f0f701d767d9a5fa3b225bb7f1759a06429/routes/likeProductReviews.ts#L43</t>
  </si>
  <si>
    <t>Cross-site Scripting (XSS)</t>
  </si>
  <si>
    <t>https://github.com/rhourani/thesis-owasp-juice-shop/tree/8f016f0f701d767d9a5fa3b225bb7f1759a06429/routes/likeProductReviews.ts#L35</t>
  </si>
  <si>
    <t>routes/profileImageUrlUpload.ts</t>
  </si>
  <si>
    <t>thesis-owasp-juice-shop/routes/profileImageUrlUpload.ts at 8f016f0f701d767d9a5fa3b225bb7f1759a06429 · rhourani/thesis-owasp-juice-shop</t>
  </si>
  <si>
    <t>frontend/src/app/last-login-ip/last-login-ip.component.spec.ts</t>
  </si>
  <si>
    <t>thesis-owasp-juice-shop/frontend/src/app/last-login-ip/last-login-ip.component.spec.ts at 8f016f0f701d767d9a5fa3b225bb7f1759a06429 · rhourani/thesis-owasp-juice-shop</t>
  </si>
  <si>
    <t xml:space="preserve">It is a test only hardcoded secret case, so not an actual vulnerability. </t>
  </si>
  <si>
    <t>frontend/src/app/app.guard.spec.ts</t>
  </si>
  <si>
    <t>thesis-owasp-juice-shop/frontend/src/app/app.guard.spec.ts at 8f016f0f701d767d9a5fa3b225bb7f1759a06429 · rhourani/thesis-owasp-juice-shop</t>
  </si>
  <si>
    <t>routes/login.ts</t>
  </si>
  <si>
    <t>thesis-owasp-juice-shop/routes/login.ts at 8f016f0f701d767d9a5fa3b225bb7f1759a06429 · rhourani/thesis-owasp-juice-shop</t>
  </si>
  <si>
    <t>routes/search.ts</t>
  </si>
  <si>
    <t>thesis-owasp-juice-shop/routes/search.ts at 8f016f0f701d767d9a5fa3b225bb7f1759a06429 · rhourani/thesis-owasp-juice-shop</t>
  </si>
  <si>
    <t>data/static/codefixes/unionSqlInjectionChallenge_3.ts</t>
  </si>
  <si>
    <t>thesis-owasp-juice-shop/data/static/codefixes/unionSqlInjectionChallenge_3.ts at 8f016f0f701d767d9a5fa3b225bb7f1759a06429 · rhourani/thesis-owasp-juice-shop</t>
  </si>
  <si>
    <t>data/static/codefixes/unionSqlInjectionChallenge_1.ts</t>
  </si>
  <si>
    <t>thesis-owasp-juice-shop/data/static/codefixes/unionSqlInjectionChallenge_1.ts at 8f016f0f701d767d9a5fa3b225bb7f1759a06429 · rhourani/thesis-owasp-juice-shop</t>
  </si>
  <si>
    <t>data/static/codefixes/dbSchemaChallenge_1.ts</t>
  </si>
  <si>
    <t>thesis-owasp-juice-shop/data/static/codefixes/dbSchemaChallenge_1.ts at 8f016f0f701d767d9a5fa3b225bb7f1759a06429 · rhourani/thesis-owasp-juice-shop</t>
  </si>
  <si>
    <t>routes/logfileServer.ts</t>
  </si>
  <si>
    <t>thesis-owasp-juice-shop/routes/logfileServer.ts at 8f016f0f701d767d9a5fa3b225bb7f1759a06429 · rhourani/thesis-owasp-juice-shop</t>
  </si>
  <si>
    <t>routes/keyServer.ts</t>
  </si>
  <si>
    <t>thesis-owasp-juice-shop/routes/keyServer.ts at 8f016f0f701d767d9a5fa3b225bb7f1759a06429 · rhourani/thesis-owasp-juice-shop</t>
  </si>
  <si>
    <t>routes/updateProductReviews.ts</t>
  </si>
  <si>
    <t>thesis-owasp-juice-shop/routes/updateProductReviews.ts at 8f016f0f701d767d9a5fa3b225bb7f1759a06429 · rhourani/thesis-owasp-juice-shop</t>
  </si>
  <si>
    <t>routes/quarantineServer.ts</t>
  </si>
  <si>
    <t>thesis-owasp-juice-shop/routes/quarantineServer.ts at 8f016f0f701d767d9a5fa3b225bb7f1759a06429 · rhourani/thesis-owasp-juice-shop</t>
  </si>
  <si>
    <t>routes/fileServer.ts</t>
  </si>
  <si>
    <t>thesis-owasp-juice-shop/routes/fileServer.ts at 8f016f0f701d767d9a5fa3b225bb7f1759a06429 · rhourani/thesis-owasp-juice-shop</t>
  </si>
  <si>
    <t>routes/userProfile.ts</t>
  </si>
  <si>
    <t>thesis-owasp-juice-shop/routes/userProfile.ts at 8f016f0f701d767d9a5fa3b225bb7f1759a06429 · rhourani/thesis-owasp-juice-shop</t>
  </si>
  <si>
    <t>routes/recycles.ts</t>
  </si>
  <si>
    <t>thesis-owasp-juice-shop/routes/recycles.ts at 8f016f0f701d767d9a5fa3b225bb7f1759a06429 · rhourani/thesis-owasp-juice-shop</t>
  </si>
  <si>
    <t>frontend/src/app/search-result/search-result.component.ts</t>
  </si>
  <si>
    <t>thesis-owasp-juice-shop/frontend/src/app/search-result/search-result.component.ts at 8f016f0f701d767d9a5fa3b225bb7f1759a06429 · rhourani/thesis-owasp-juice-shop</t>
  </si>
  <si>
    <t>Lib name</t>
  </si>
  <si>
    <t>Version</t>
  </si>
  <si>
    <t>Impact</t>
  </si>
  <si>
    <t>Impact category</t>
  </si>
  <si>
    <t>CVE link OR Link for explaination</t>
  </si>
  <si>
    <t>Severity at snyk</t>
  </si>
  <si>
    <t>Severity globale score</t>
  </si>
  <si>
    <t>Fix is supported</t>
  </si>
  <si>
    <t>Fix provided</t>
  </si>
  <si>
    <t>Impact categpry</t>
  </si>
  <si>
    <t>multer</t>
  </si>
  <si>
    <t>DoS</t>
  </si>
  <si>
    <t>Availability</t>
  </si>
  <si>
    <t>Unhandled Exception</t>
  </si>
  <si>
    <t>https://www.cve.org/CVERecord?id=CVE-2025-48997</t>
  </si>
  <si>
    <t>juicy-chat-bot</t>
  </si>
  <si>
    <t>Remote Code Execution</t>
  </si>
  <si>
    <t>Availability, Integrity, Confidentiality</t>
  </si>
  <si>
    <t>Code injection</t>
  </si>
  <si>
    <t>CVE Record: CVE-2023-37466</t>
  </si>
  <si>
    <t>Integrity</t>
  </si>
  <si>
    <t>OS Command Injection</t>
  </si>
  <si>
    <t>CVE Record: CVE-2023-37903</t>
  </si>
  <si>
    <t>Confidentality</t>
  </si>
  <si>
    <t>DoS, Sensitive data extraction</t>
  </si>
  <si>
    <t>Sandbox Escape, Injection</t>
  </si>
  <si>
    <t>CVE Record: CVE-2023-32314</t>
  </si>
  <si>
    <t>Authentication bypass</t>
  </si>
  <si>
    <t>marsdb</t>
  </si>
  <si>
    <t>Command Injection</t>
  </si>
  <si>
    <t>Command Injection in marsdb · GHSA-5mrr-rgp6-x4gr · GitHub Advisory Database</t>
  </si>
  <si>
    <t>Availability, Confidentiality</t>
  </si>
  <si>
    <t>CVE Record: CVE-2025-47944</t>
  </si>
  <si>
    <t>Confidentality, Integrity</t>
  </si>
  <si>
    <t>Memory leak issue</t>
  </si>
  <si>
    <t>CVE Record: CVE-2025-47935</t>
  </si>
  <si>
    <t xml:space="preserve">Uninitialized Buffer allocation </t>
  </si>
  <si>
    <t>CVE Record: CVE-2025-7338</t>
  </si>
  <si>
    <t>Cryptographic implementation vulnerability leading to authentication bypass</t>
  </si>
  <si>
    <t>jsonwebtoken</t>
  </si>
  <si>
    <t>Node.js third-party modules | Report #321687 - `base64url` allocates uninitialized Buffers when number is passed in input on Node.js 4.x and below | HackerOne</t>
  </si>
  <si>
    <t>CVE Record: CVE-2015-9235</t>
  </si>
  <si>
    <t>https://www.cve.org/CVERecord?id=CVE-2016-1000223</t>
  </si>
  <si>
    <t>Use of Hardcoded Passwords</t>
  </si>
  <si>
    <t>thesis-owasp-juice-shop/frontend/src/app/oauth/oauth.component.spec.ts at 8f016f0f701d767d9a5fa3b225bb7f1759a06429 · rhourani/thesis-owasp-juice-shop</t>
  </si>
  <si>
    <t>frontend/src/app/oauth/oauth.component.spec.ts</t>
  </si>
  <si>
    <t>thesis-owasp-juice-shop/frontend/src/app/Services/two-factor-auth-service.spec.ts at 8f016f0f701d767d9a5fa3b225bb7f1759a06429 · rhourani/thesis-owasp-juice-shop</t>
  </si>
  <si>
    <t>frontend/src/app/Services/two-factor-auth-service.spec.ts</t>
  </si>
  <si>
    <t>thesis-owasp-juice-shop/routes/dataErasure.ts at 8f016f0f701d767d9a5fa3b225bb7f1759a06429 · rhourani/thesis-owasp-juice-shop</t>
  </si>
  <si>
    <t>routes/dataErasure.ts</t>
  </si>
  <si>
    <t>Allocation of Resources Without Limits or Throttling</t>
  </si>
  <si>
    <t>thesis-owasp-juice-shop/frontend/src/app/data-export/data-export.component.ts at 8f016f0f701d767d9a5fa3b225bb7f1759a06429 · rhourani/thesis-owasp-juice-shop</t>
  </si>
  <si>
    <t>frontend/src/app/data-export/data-export.component.ts</t>
  </si>
  <si>
    <t>DOM-based Cross-site Scripting (XSS)</t>
  </si>
  <si>
    <t>thesis-owasp-juice-shop/frontend/src/app/administration/administration.component.ts at 8f016f0f701d767d9a5fa3b225bb7f1759a06429 · rhourani/thesis-owasp-juice-shop</t>
  </si>
  <si>
    <t>frontend/src/app/administration/administration.component.ts</t>
  </si>
  <si>
    <t>Cross-Site Request Forgery (CSRF)</t>
  </si>
  <si>
    <t>Vulnerability name</t>
  </si>
  <si>
    <t>thesis-owasp-juice-shop/server.ts at 8f016f0f701d767d9a5fa3b225bb7f1759a06429 · rhourani/thesis-owasp-juice-shop</t>
  </si>
  <si>
    <t>server.ts</t>
  </si>
  <si>
    <t>Prototype Pollution</t>
  </si>
  <si>
    <t>thesis-owasp-juice-shop/lib/accuracy.ts at 8f016f0f701d767d9a5fa3b225bb7f1759a06429 · rhourani/thesis-owasp-juice-shop</t>
  </si>
  <si>
    <t>lib/accuracy.ts</t>
  </si>
  <si>
    <t>Information Exposure - Server Error Message</t>
  </si>
  <si>
    <t>thesis-owasp-juice-shop/routes/errorHandler.ts at 8f016f0f701d767d9a5fa3b225bb7f1759a06429 · rhourani/thesis-owasp-juice-shop</t>
  </si>
  <si>
    <t>routes/errorHandler.ts</t>
  </si>
  <si>
    <t>thesis-owasp-juice-shop/routes/redirect.ts at 8f016f0f701d767d9a5fa3b225bb7f1759a06429 · rhourani/thesis-owasp-juice-shop</t>
  </si>
  <si>
    <t>routes/redirect.ts</t>
  </si>
  <si>
    <t>Open Redirect</t>
  </si>
  <si>
    <t>thesis-owasp-juice-shop/routes/authenticatedUsers.ts at 8f016f0f701d767d9a5fa3b225bb7f1759a06429 · rhourani/thesis-owasp-juice-shop</t>
  </si>
  <si>
    <t>routes/authenticatedUsers.ts</t>
  </si>
  <si>
    <t>Insecure JWT Verification Method</t>
  </si>
  <si>
    <t>thesis-owasp-juice-shop/routes/videoHandler.ts at 8f016f0f701d767d9a5fa3b225bb7f1759a06429 · rhourani/thesis-owasp-juice-shop</t>
  </si>
  <si>
    <t>routes/videoHandler.ts</t>
  </si>
  <si>
    <t>routes/privacyPolicyProof.ts</t>
  </si>
  <si>
    <t>thesis-owasp-juice-shop/routes/privacyPolicyProof.ts at 8f016f0f701d767d9a5fa3b225bb7f1759a06429 · rhourani/thesis-owasp-juice-shop</t>
  </si>
  <si>
    <t>routes/premiumReward.ts</t>
  </si>
  <si>
    <t>thesis-owasp-juice-shop/routes/premiumReward.ts at 8f016f0f701d767d9a5fa3b225bb7f1759a06429 · rhourani/thesis-owasp-juice-shop</t>
  </si>
  <si>
    <t>thesis-owasp-juice-shop/routes/languages.ts at 8f016f0f701d767d9a5fa3b225bb7f1759a06429 · rhourani/thesis-owasp-juice-shop</t>
  </si>
  <si>
    <t>routes/languages.ts</t>
  </si>
  <si>
    <t>thesis-owasp-juice-shop/routes/easterEgg.ts at 8f016f0f701d767d9a5fa3b225bb7f1759a06429 · rhourani/thesis-owasp-juice-shop</t>
  </si>
  <si>
    <t>routes/easterEgg.ts</t>
  </si>
  <si>
    <t>frontend/src/app/last-login-ip/last-login-ip.component.ts</t>
  </si>
  <si>
    <t>thesis-owasp-juice-shop/frontend/src/app/last-login-ip/last-login-ip.component.ts at 8f016f0f701d767d9a5fa3b225bb7f1759a06429 · rhourani/thesis-owasp-juice-shop</t>
  </si>
  <si>
    <t>frontend/src/app/track-result/track-result.component.ts</t>
  </si>
  <si>
    <t>thesis-owasp-juice-shop/frontend/src/app/track-result/track-result.component.ts at 8f016f0f701d767d9a5fa3b225bb7f1759a06429 · rhourani/thesis-owasp-juice-shop</t>
  </si>
  <si>
    <t>frontend/src/app/about/about.component.ts</t>
  </si>
  <si>
    <t>thesis-owasp-juice-shop/frontend/src/app/about/about.component.ts at 8f016f0f701d767d9a5fa3b225bb7f1759a06429 · rhourani/thesis-owasp-juice-shop</t>
  </si>
  <si>
    <t>test/api/userProfileSpec.ts</t>
  </si>
  <si>
    <t>thesis-owasp-juice-shop/test/api/userProfileSpec.ts at 8f016f0f701d767d9a5fa3b225bb7f1759a06429 · rhourani/thesis-owasp-juice-shop</t>
  </si>
  <si>
    <t>Not applicable</t>
  </si>
  <si>
    <t>Test case where credentials used as mock, the context here does not imply a vulnerability or an attack vector. That is why I marked it as a false positive.</t>
  </si>
  <si>
    <t>test/api/paymentApiSpec.ts</t>
  </si>
  <si>
    <t>https://github.com/rhourani/thesis-owasp-juice-shop/tree/8f016f0f701d767d9a5fa3b225bb7f1759a06429/test/api/paymentApiSpec.ts#L20</t>
  </si>
  <si>
    <t>‎test/api/basketItemApiSpec.ts</t>
  </si>
  <si>
    <t>‎test/api/addressApiSpec.ts</t>
  </si>
  <si>
    <t>‎test/cypress/e2e/restApi.spec.ts</t>
  </si>
  <si>
    <t>‎test/cypress/e2e/dataExport.spec.ts</t>
  </si>
  <si>
    <t>‎test/cypress/e2e/totpSetup.spec.ts</t>
  </si>
  <si>
    <t>‎test/cypress/e2e/search.spec.ts</t>
  </si>
  <si>
    <t>‎test/cypress/e2e/profile.spec.ts</t>
  </si>
  <si>
    <t>test/cypress/e2e/deluxe.spec.ts</t>
  </si>
  <si>
    <t>thesis-owasp-juice-shop/test/cypress/e2e/deluxe.spec.ts at 8f016f0f701d767d9a5fa3b225bb7f1759a06429 · rhourani/thesis-owasp-juice-shop</t>
  </si>
  <si>
    <t>‎test/cypress/e2e/deluxe.spec.ts</t>
  </si>
  <si>
    <t>‎test/cypress/e2e/dataErasure.spec.ts</t>
  </si>
  <si>
    <t>‎test/cypress/e2e/contact.spec.ts</t>
  </si>
  <si>
    <t>‎test/cypress/e2e/complain.spec.ts</t>
  </si>
  <si>
    <t>‎test/cypress/e2e/chatbot.spec.ts</t>
  </si>
  <si>
    <t>‎test/api/passwordApiSpec.ts</t>
  </si>
  <si>
    <t>‎test/cypress/e2e/changePassword.spec.ts</t>
  </si>
  <si>
    <t>‎test/cypress/e2e/basket.spec.ts</t>
  </si>
  <si>
    <t>‎test/cypress/e2e/register.spec.ts</t>
  </si>
  <si>
    <t>‎test/cypress/e2e/noSql.spec.ts</t>
  </si>
  <si>
    <t>‎test/cypress/e2e/b2bOrder.spec.ts</t>
  </si>
  <si>
    <t>‎test/cypress/e2e/administration.spec.ts</t>
  </si>
  <si>
    <t>‎test/api/userApiSpec.ts</t>
  </si>
  <si>
    <t>‎test/api/profileImageUploadSpec.ts</t>
  </si>
  <si>
    <t>‎test/api/quantityApiSpec.ts</t>
  </si>
  <si>
    <t>‎test/api/productReviewApiSpec.ts</t>
  </si>
  <si>
    <t>‎test/api/orderHistoryApiSpec.ts</t>
  </si>
  <si>
    <t>‎test/api/memoryApiSpec.ts</t>
  </si>
  <si>
    <t>‎test/api/loginApiSpec.ts</t>
  </si>
  <si>
    <t>‎test/api/feedbackApiSpec.ts</t>
  </si>
  <si>
    <t>‎test/api/erasureRequestApiSpec.ts</t>
  </si>
  <si>
    <t>‎test/api/deluxeApiSpec.ts</t>
  </si>
  <si>
    <t>‎test/api/deliveryApiSpec.ts</t>
  </si>
  <si>
    <t>‎test/api/dataExportApiSpec.ts</t>
  </si>
  <si>
    <t>‎test/api/basketApiSpec.ts</t>
  </si>
  <si>
    <t>‎test/api/chatBotSpec.ts</t>
  </si>
  <si>
    <t>‎test/api/authenticatedUsersSpec.ts</t>
  </si>
  <si>
    <t>‎test/api/2faSpec.ts</t>
  </si>
  <si>
    <t>Test case where tokens used as mock, the context here does not imply a vulnerability or an attack vector. That is why I marked it as a false positive.</t>
  </si>
  <si>
    <t>‎test/server/verifySpec.ts</t>
  </si>
  <si>
    <t>‎test/server/currentUserSpec.ts</t>
  </si>
  <si>
    <t>‎test/cypress/e2e/forgedJwt.spec.ts</t>
  </si>
  <si>
    <t>‎test/api/web3Spec.ts</t>
  </si>
  <si>
    <t>Test case where tokens used as mock, the context here does not imply a vulnerability or an attack vector. That is why I marked it as a false positive. Duplicate of previous record.</t>
  </si>
  <si>
    <t>Use of Hardcoded Credentials</t>
  </si>
  <si>
    <t>‎routes/vulnCodeSnippet.ts</t>
  </si>
  <si>
    <t>Improper Type Validation</t>
  </si>
  <si>
    <t>‎routes/profileImageUrlUpload.ts</t>
  </si>
  <si>
    <t>mocked token and it is a test case in a test file</t>
  </si>
  <si>
    <t>Cleartext Transmission - HTTP Instead of HTTPS</t>
  </si>
  <si>
    <t>‎test/server/webhookSpec.ts</t>
  </si>
  <si>
    <t>Since it is a test case the context the tool explained the vulnerability is not accurate</t>
  </si>
  <si>
    <t>Use of Password Hash With Insufficient Computational Effort</t>
  </si>
  <si>
    <t>Gruntfile.js</t>
  </si>
  <si>
    <t>‎lib/insecurity.ts</t>
  </si>
  <si>
    <t>https://sonarcloud.io/project/issues?open=AZpaquMzKS0GYb6wVLGJ&amp;id=rhourani_thesis-owasp-juice-shop</t>
  </si>
  <si>
    <t>Direct Link on SonarQube to affected line in the code</t>
  </si>
  <si>
    <t>https://sonarcloud.io/project/issues?open=AZpaquF9KS0GYb6wVLGH&amp;id=rhourani_thesis-owasp-juice-shop</t>
  </si>
  <si>
    <t>https://sonarcloud.io/project/issues?open=AZpaquF9KS0GYb6wVLGI&amp;id=rhourani_thesis-owasp-juice-shop</t>
  </si>
  <si>
    <t>Test case</t>
  </si>
  <si>
    <t>routes/b2bOrder.ts</t>
  </si>
  <si>
    <t>https://sonarcloud.io/project/issues?open=AZpNosdwfjpKVMoq7BjW&amp;id=rhourani_thesis-owasp-juice-shop</t>
  </si>
  <si>
    <t>Improper Input Validation</t>
  </si>
  <si>
    <t>routes/createProductReviews.ts</t>
  </si>
  <si>
    <t>https://sonarcloud.io/project/issues?open=AZpNosl4fjpKVMoq7Bkx&amp;id=rhourani_thesis-owasp-juice-shop</t>
  </si>
  <si>
    <t>routes/fileUpload.ts</t>
  </si>
  <si>
    <t>https://sonarcloud.io/project/issues?open=AZpNosdkfjpKVMoq7BjO&amp;id=rhourani_thesis-owasp-juice-shop</t>
  </si>
  <si>
    <t>https://sonarcloud.io/project/issues?open=AZpNosdkfjpKVMoq7BjP&amp;id=rhourani_thesis-owasp-juice-shop</t>
  </si>
  <si>
    <t>https://sonarcloud.io/project/issues?open=AZpNosdkfjpKVMoq7BjN&amp;id=rhourani_thesis-owasp-juice-shop</t>
  </si>
  <si>
    <t>https://sonarcloud.io/project/issues?open=AZpNosmDfjpKVMoq7Bkz&amp;id=rhourani_thesis-owasp-juice-shop</t>
  </si>
  <si>
    <t>https://sonarcloud.io/project/issues?open=AZpNosmDfjpKVMoq7Bk2&amp;id=rhourani_thesis-owasp-juice-shop</t>
  </si>
  <si>
    <t>https://sonarcloud.io/project/issues?open=AZpNosmDfjpKVMoq7Bk0&amp;id=rhourani_thesis-owasp-juice-shop</t>
  </si>
  <si>
    <t>https://sonarcloud.io/project/issues?open=AZpNosmDfjpKVMoq7Bk1&amp;id=rhourani_thesis-owasp-juice-shop</t>
  </si>
  <si>
    <t>https://sonarcloud.io/project/issues?open=AZpNosbgfjpKVMoq7Bif&amp;id=rhourani_thesis-owasp-juice-shop</t>
  </si>
  <si>
    <t>routes/order.ts</t>
  </si>
  <si>
    <t>https://sonarcloud.io/project/issues?open=AZpNosabfjpKVMoq7BiU&amp;id=rhourani_thesis-owasp-juice-shop</t>
  </si>
  <si>
    <t>routes/orderHistory.ts</t>
  </si>
  <si>
    <t>https://sonarcloud.io/project/issues?open=AZpNosZ0fjpKVMoq7BiC&amp;id=rhourani_thesis-owasp-juice-shop</t>
  </si>
  <si>
    <t>https://sonarcloud.io/project/issues?open=AZpNoscffjpKVMoq7Biy&amp;id=rhourani_thesis-owasp-juice-shop</t>
  </si>
  <si>
    <t>https://sonarcloud.io/project/issues?open=AZpNosaEfjpKVMoq7BiD&amp;id=rhourani_thesis-owasp-juice-shop</t>
  </si>
  <si>
    <t>URL Redirection to Untrusted Site ('Open Redirect')</t>
  </si>
  <si>
    <t>https://sonarcloud.io/project/issues?open=AZpNosb1fjpKVMoq7Bin&amp;id=rhourani_thesis-owasp-juice-shop</t>
  </si>
  <si>
    <t>routes/showProductReviews.ts</t>
  </si>
  <si>
    <t>https://sonarcloud.io/project/issues?open=AZpNosfhfjpKVMoq7Bj3&amp;id=rhourani_thesis-owasp-juice-shop</t>
  </si>
  <si>
    <t>routes/trackOrder.ts</t>
  </si>
  <si>
    <t>https://sonarcloud.io/project/issues?open=AZpNosi5fjpKVMoq7Bkb&amp;id=rhourani_thesis-owasp-juice-shop</t>
  </si>
  <si>
    <t>https://sonarcloud.io/project/issues?open=AZpNosjEfjpKVMoq7Bkc&amp;id=rhourani_thesis-owasp-juice-shop</t>
  </si>
  <si>
    <t>routes/vulnCodeFixes.ts</t>
  </si>
  <si>
    <t>https://sonarcloud.io/project/issues?open=AZpNosaPfjpKVMoq7BiG&amp;id=rhourani_thesis-owasp-juice-shop</t>
  </si>
  <si>
    <t>routes/vulnCodeSnippet.ts</t>
  </si>
  <si>
    <t>https://sonarcloud.io/project/issues?open=AZpNosfKfjpKVMoq7Bjt&amp;id=rhourani_thesis-owasp-juice-shop</t>
  </si>
  <si>
    <t>frontend/src/app/score-board/score-board.component.ts</t>
  </si>
  <si>
    <t>Denial of Service</t>
  </si>
  <si>
    <t>frontend/src/app/change-password/change-password.component.ts</t>
  </si>
  <si>
    <t>lib/codingChallenges.ts</t>
  </si>
  <si>
    <t>lib/startup/registerWebsocketEvents.ts</t>
  </si>
  <si>
    <t>Information about regex can block the operation</t>
  </si>
  <si>
    <t>lib/utils.ts</t>
  </si>
  <si>
    <t>test/api/metricsApiSpec.ts</t>
  </si>
  <si>
    <t>test/cypress/support/commands.ts</t>
  </si>
  <si>
    <t>Dockerfile</t>
  </si>
  <si>
    <t>Incorrect Permission Assignment for Critical Resource</t>
  </si>
  <si>
    <t>test/smoke/Dockerfile</t>
  </si>
  <si>
    <t>routes/captcha.ts</t>
  </si>
  <si>
    <t>Code Injection</t>
  </si>
  <si>
    <t>Use of Cryptographically Weak Pseudo-Random Number Generator (PRNG)</t>
  </si>
  <si>
    <t>data/datacreator.ts</t>
  </si>
  <si>
    <t>frontend/src/app/code-snippet/code-snippet.component.ts</t>
  </si>
  <si>
    <t>Random() function used to generate some mock data</t>
  </si>
  <si>
    <t>Random() func used in a not used variable. Context is not posing a security issue.</t>
  </si>
  <si>
    <t>data/static/codefixes/redirectChallenge_1.ts</t>
  </si>
  <si>
    <t>data/static/codefixes/redirectChallenge_2.ts</t>
  </si>
  <si>
    <t>data/static/codefixes/redirectChallenge_3.ts</t>
  </si>
  <si>
    <t>data/static/codefixes/redirectChallenge_4_correct.ts</t>
  </si>
  <si>
    <t>data/static/codefixes/redirectCryptoCurrencyChallenge_1.ts</t>
  </si>
  <si>
    <t>data/static/codefixes/redirectCryptoCurrencyChallenge_2.ts</t>
  </si>
  <si>
    <t>data/static/codefixes/redirectCryptoCurrencyChallenge_3_correct.ts</t>
  </si>
  <si>
    <t>data/static/codefixes/redirectCryptoCurrencyChallenge_4.ts</t>
  </si>
  <si>
    <t>frontend/src/app/order-completion/order-completion.component.spec.ts</t>
  </si>
  <si>
    <t>redirect to local host</t>
  </si>
  <si>
    <t>test/cypress/e2e/profile.spec.ts</t>
  </si>
  <si>
    <t>test/server/redirectSpec.ts</t>
  </si>
  <si>
    <t>Controlled test case</t>
  </si>
  <si>
    <t>test/server/utilsSpec.ts</t>
  </si>
  <si>
    <t>test/server/verifySpec.ts</t>
  </si>
  <si>
    <t>Local docker setup and url</t>
  </si>
  <si>
    <t> Origin Validation Error</t>
  </si>
  <si>
    <t>Active Debug Code</t>
  </si>
  <si>
    <t>Use of a Risky Cryptographic Primitive</t>
  </si>
  <si>
    <t>Origin Validation Error</t>
  </si>
  <si>
    <t>Missing Support for Integrity Check</t>
  </si>
  <si>
    <t>frontend/src/index.html</t>
  </si>
  <si>
    <t>test/api/loginApiSpec.ts</t>
  </si>
  <si>
    <t>Using a hardcoded IP address </t>
  </si>
  <si>
    <t>Embedded Malicious Code</t>
  </si>
  <si>
    <t>Category</t>
  </si>
  <si>
    <t>Percent</t>
  </si>
  <si>
    <t>Broken Access Control</t>
  </si>
  <si>
    <t>Broken Anti Automation</t>
  </si>
  <si>
    <t>Broken Authentication</t>
  </si>
  <si>
    <t>Cross Site Scripting (XSS)</t>
  </si>
  <si>
    <t>Cryptographic Issues</t>
  </si>
  <si>
    <t>Injection</t>
  </si>
  <si>
    <t>Insecure Deserialization</t>
  </si>
  <si>
    <t>Miscellaneous</t>
  </si>
  <si>
    <t>Security Misconfiguration</t>
  </si>
  <si>
    <t>Security through Obscurity</t>
  </si>
  <si>
    <t>Sensitive Data Exposure</t>
  </si>
  <si>
    <t>Unvalidated Redirects</t>
  </si>
  <si>
    <t>Vulnerable Components</t>
  </si>
  <si>
    <t>XML External Entities (XXE)</t>
  </si>
  <si>
    <t>Vulnerability Category</t>
  </si>
  <si>
    <t>Percentage</t>
  </si>
  <si>
    <t>SQL Injection (one is corrected to be no sql )</t>
  </si>
  <si>
    <t>Use of Password Hash With Insufficient Computational Effort (correct is Improper Input Validation)</t>
  </si>
  <si>
    <t>No CWE reported or found. Possible no: 798, 1051  and 200</t>
  </si>
  <si>
    <t>Total</t>
  </si>
  <si>
    <t>Valid</t>
  </si>
  <si>
    <t>Valid Percentage</t>
  </si>
  <si>
    <r>
      <t>CWE-22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CWE-285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CWE-639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CWE-918</t>
    </r>
  </si>
  <si>
    <t>Broken Anti-Automation</t>
  </si>
  <si>
    <t>CWE-362</t>
  </si>
  <si>
    <r>
      <t>CWE-287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CWE-352</t>
    </r>
  </si>
  <si>
    <t>CWE-79</t>
  </si>
  <si>
    <r>
      <t>CWE-326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CWE-327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CWE-328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CWE-950</t>
    </r>
  </si>
  <si>
    <t>-</t>
  </si>
  <si>
    <t>CWE-20</t>
  </si>
  <si>
    <r>
      <t>CWE-74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CWE-89</t>
    </r>
  </si>
  <si>
    <t>CWE-502</t>
  </si>
  <si>
    <t>CWE-209</t>
  </si>
  <si>
    <t>CWE-656</t>
  </si>
  <si>
    <r>
      <t>CWE-200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CWE-530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CWE-548</t>
    </r>
  </si>
  <si>
    <t>CWE-601</t>
  </si>
  <si>
    <r>
      <t>CWE-829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CWE-506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CWE-1104</t>
    </r>
  </si>
  <si>
    <t>CWE-611</t>
  </si>
  <si>
    <t>Observability Failures</t>
  </si>
  <si>
    <r>
      <t>CWE-532</t>
    </r>
    <r>
      <rPr>
        <sz val="11"/>
        <color rgb="FF333333"/>
        <rFont val="Arial"/>
        <family val="2"/>
      </rPr>
      <t>, </t>
    </r>
    <r>
      <rPr>
        <sz val="11"/>
        <color rgb="FF1565C0"/>
        <rFont val="Arial"/>
        <family val="2"/>
      </rPr>
      <t>CWE-117</t>
    </r>
  </si>
  <si>
    <r>
      <t>Improper Input Validation</t>
    </r>
    <r>
      <rPr>
        <sz val="11"/>
        <color theme="1"/>
        <rFont val="Aptos Narrow"/>
        <family val="2"/>
        <scheme val="minor"/>
      </rPr>
      <t xml:space="preserve"> (related)</t>
    </r>
  </si>
  <si>
    <r>
      <t>Broken Access Control</t>
    </r>
    <r>
      <rPr>
        <sz val="11"/>
        <color theme="1"/>
        <rFont val="Aptos Narrow"/>
        <family val="2"/>
        <scheme val="minor"/>
      </rPr>
      <t xml:space="preserve"> (via CWE-22)</t>
    </r>
  </si>
  <si>
    <t>Mapped To (offiial juice shop categories)</t>
  </si>
  <si>
    <t>Total after aggregation</t>
  </si>
  <si>
    <r>
      <t>Broken Authentication</t>
    </r>
    <r>
      <rPr>
        <sz val="11"/>
        <color theme="1"/>
        <rFont val="Aptos Narrow"/>
        <family val="2"/>
        <scheme val="minor"/>
      </rPr>
      <t xml:space="preserve"> </t>
    </r>
  </si>
  <si>
    <t>Total false positive after aggregation</t>
  </si>
  <si>
    <t>Notes on Mapping Logic</t>
  </si>
  <si>
    <t>CWE-22 (Path Traversal) and CWE-918 (SSRF) are already part of Broken Access Control, so those map cleanly.</t>
  </si>
  <si>
    <t>CWE-547, CWE-798, CWE-200, CWE-530, CWE-548 all relate to Sensitive Data Exposure — even if some are about secrets or credentials.</t>
  </si>
  <si>
    <t>CWE-347 (JWT issues) is not explicitly listed, but conceptually fits under Broken Authentication.</t>
  </si>
  <si>
    <t>CWE-1287 (Improper Type Validation) is a subtype of Improper Input Validation.</t>
  </si>
  <si>
    <t>Prototype Pollution and Resource Allocation are less common and don’t map cleanly — best placed under Miscellaneous unless you want to create new categories.</t>
  </si>
  <si>
    <t>Category name</t>
  </si>
  <si>
    <t>Total reported</t>
  </si>
  <si>
    <r>
      <t>Improper Input Validation</t>
    </r>
    <r>
      <rPr>
        <sz val="11"/>
        <color theme="1"/>
        <rFont val="Aptos Narrow"/>
        <family val="2"/>
        <scheme val="minor"/>
      </rPr>
      <t xml:space="preserve"> -- this was rported under wrong category, correct one is improper input validation and reported under crybtography issues</t>
    </r>
  </si>
  <si>
    <t>Official catefory in juice map</t>
  </si>
  <si>
    <r>
      <t>Miscellaneous</t>
    </r>
    <r>
      <rPr>
        <sz val="11"/>
        <color theme="1"/>
        <rFont val="Aptos Narrow"/>
        <family val="2"/>
        <scheme val="minor"/>
      </rPr>
      <t xml:space="preserve"> </t>
    </r>
  </si>
  <si>
    <r>
      <t>Cryptographic Issues</t>
    </r>
    <r>
      <rPr>
        <sz val="11"/>
        <color theme="1"/>
        <rFont val="Aptos Narrow"/>
        <family val="2"/>
        <scheme val="minor"/>
      </rPr>
      <t xml:space="preserve"> </t>
    </r>
  </si>
  <si>
    <r>
      <t>Sensitive Data Exposure</t>
    </r>
    <r>
      <rPr>
        <sz val="11"/>
        <color theme="1"/>
        <rFont val="Aptos Narrow"/>
        <family val="2"/>
        <scheme val="minor"/>
      </rPr>
      <t xml:space="preserve"> </t>
    </r>
  </si>
  <si>
    <t>Percentages of valid found vulnerabilitiesin the app</t>
  </si>
  <si>
    <t>Percentages of total found vulnerabilities in the app</t>
  </si>
  <si>
    <t>Percentages of valid found vulnerabilities in the app</t>
  </si>
  <si>
    <t>Juice shop</t>
  </si>
  <si>
    <t>Use of Hardcoded Credentials or Passwords</t>
  </si>
  <si>
    <t>frontend/src/app/register/register.component.spec.ts</t>
  </si>
  <si>
    <t>test/api/passwordApiSpec.ts</t>
  </si>
  <si>
    <t>test/api/securityAnswerApiSpec.ts</t>
  </si>
  <si>
    <t>test/api/userApiSpec.ts</t>
  </si>
  <si>
    <t>test/api/walletApiSpec.ts</t>
  </si>
  <si>
    <t>test/cypress/e2e/register.spec.ts</t>
  </si>
  <si>
    <t>test/cypress/e2e/totpSetup.spec.ts</t>
  </si>
  <si>
    <t>https://sonarcloud.io/project/security_hotspots?id=rhourani_thesis-owasp-juice-shop&amp;tab=code</t>
  </si>
  <si>
    <t>Security Hotspots -- These are items marked as potential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</si>
</sst>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11"/>
      <color rgb="FF1C1C2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1565C0"/>
      <name val="Arial"/>
      <family val="2"/>
    </font>
    <font>
      <u/>
      <sz val="11"/>
      <color rgb="FF104D9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thick">
        <color rgb="FFE1E1E1"/>
      </bottom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1"/>
    <xf numFmtId="21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1" applyFont="1"/>
    <xf numFmtId="0" fontId="4" fillId="0" borderId="0" xfId="0" applyFont="1"/>
    <xf numFmtId="0" fontId="0" fillId="2" borderId="0" xfId="0" applyFill="1"/>
    <xf numFmtId="0" fontId="5" fillId="0" borderId="0" xfId="0" applyFont="1" applyAlignment="1">
      <alignment horizontal="justify" vertical="center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" fillId="3" borderId="2" xfId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justify" vertical="center" wrapText="1"/>
    </xf>
    <xf numFmtId="0" fontId="5" fillId="4" borderId="0" xfId="0" applyFont="1" applyFill="1" applyAlignment="1">
      <alignment horizontal="justify"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5" fillId="5" borderId="0" xfId="0" applyFont="1" applyFill="1" applyAlignment="1">
      <alignment horizontal="justify" vertical="center" wrapText="1"/>
    </xf>
    <xf numFmtId="0" fontId="0" fillId="5" borderId="0" xfId="0" applyFill="1"/>
    <xf numFmtId="0" fontId="5" fillId="6" borderId="0" xfId="0" applyFont="1" applyFill="1" applyAlignment="1">
      <alignment horizontal="justify" vertical="center" wrapText="1"/>
    </xf>
    <xf numFmtId="0" fontId="0" fillId="6" borderId="0" xfId="0" applyFill="1"/>
    <xf numFmtId="0" fontId="0" fillId="6" borderId="0" xfId="0" applyFill="1" applyAlignment="1">
      <alignment vertical="center" wrapText="1"/>
    </xf>
    <xf numFmtId="0" fontId="5" fillId="7" borderId="0" xfId="0" applyFont="1" applyFill="1" applyAlignment="1">
      <alignment horizontal="justify" vertical="center" wrapText="1"/>
    </xf>
    <xf numFmtId="0" fontId="0" fillId="7" borderId="0" xfId="0" applyFill="1"/>
    <xf numFmtId="0" fontId="0" fillId="7" borderId="0" xfId="0" applyFill="1" applyAlignment="1">
      <alignment vertical="center" wrapText="1"/>
    </xf>
    <xf numFmtId="0" fontId="5" fillId="8" borderId="0" xfId="0" applyFont="1" applyFill="1" applyAlignment="1">
      <alignment horizontal="justify" vertical="center" wrapText="1"/>
    </xf>
    <xf numFmtId="0" fontId="0" fillId="8" borderId="0" xfId="0" applyFill="1"/>
    <xf numFmtId="0" fontId="0" fillId="8" borderId="0" xfId="0" applyFill="1" applyAlignment="1">
      <alignment vertical="center" wrapText="1"/>
    </xf>
    <xf numFmtId="0" fontId="5" fillId="9" borderId="0" xfId="0" applyFont="1" applyFill="1" applyAlignment="1">
      <alignment horizontal="justify" vertical="center" wrapText="1"/>
    </xf>
    <xf numFmtId="0" fontId="0" fillId="9" borderId="0" xfId="0" applyFill="1"/>
    <xf numFmtId="0" fontId="0" fillId="9" borderId="0" xfId="0" applyFill="1" applyAlignment="1">
      <alignment vertical="center" wrapText="1"/>
    </xf>
    <xf numFmtId="0" fontId="5" fillId="10" borderId="0" xfId="0" applyFont="1" applyFill="1" applyAlignment="1">
      <alignment horizontal="justify" vertical="center" wrapText="1"/>
    </xf>
    <xf numFmtId="0" fontId="0" fillId="10" borderId="0" xfId="0" applyFill="1"/>
    <xf numFmtId="0" fontId="0" fillId="10" borderId="0" xfId="0" applyFill="1" applyAlignment="1">
      <alignment vertical="center" wrapText="1"/>
    </xf>
    <xf numFmtId="0" fontId="5" fillId="11" borderId="0" xfId="0" applyFont="1" applyFill="1" applyAlignment="1">
      <alignment horizontal="justify" vertical="center" wrapText="1"/>
    </xf>
    <xf numFmtId="0" fontId="0" fillId="11" borderId="0" xfId="0" applyFill="1"/>
    <xf numFmtId="0" fontId="0" fillId="11" borderId="0" xfId="0" applyFill="1" applyAlignment="1">
      <alignment vertical="center" wrapText="1"/>
    </xf>
    <xf numFmtId="0" fontId="5" fillId="12" borderId="0" xfId="0" applyFont="1" applyFill="1" applyAlignment="1">
      <alignment horizontal="justify" vertical="center" wrapText="1"/>
    </xf>
    <xf numFmtId="0" fontId="0" fillId="12" borderId="0" xfId="0" applyFill="1"/>
    <xf numFmtId="0" fontId="0" fillId="12" borderId="0" xfId="0" applyFill="1" applyAlignment="1">
      <alignment vertical="center" wrapText="1"/>
    </xf>
    <xf numFmtId="0" fontId="5" fillId="13" borderId="0" xfId="0" applyFont="1" applyFill="1" applyAlignment="1">
      <alignment horizontal="justify" vertical="center" wrapText="1"/>
    </xf>
    <xf numFmtId="0" fontId="2" fillId="13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5" fillId="14" borderId="0" xfId="0" applyFont="1" applyFill="1" applyAlignment="1">
      <alignment horizontal="justify" vertical="center" wrapText="1"/>
    </xf>
    <xf numFmtId="0" fontId="2" fillId="14" borderId="0" xfId="0" applyFont="1" applyFill="1" applyAlignment="1">
      <alignment vertical="center" wrapText="1"/>
    </xf>
    <xf numFmtId="0" fontId="5" fillId="15" borderId="0" xfId="0" applyFont="1" applyFill="1" applyAlignment="1">
      <alignment horizontal="justify" vertical="center" wrapText="1"/>
    </xf>
    <xf numFmtId="0" fontId="2" fillId="15" borderId="0" xfId="0" applyFont="1" applyFill="1" applyAlignment="1">
      <alignment vertical="center" wrapText="1"/>
    </xf>
    <xf numFmtId="0" fontId="5" fillId="16" borderId="0" xfId="0" applyFont="1" applyFill="1" applyAlignment="1">
      <alignment horizontal="justify" vertical="center" wrapText="1"/>
    </xf>
    <xf numFmtId="0" fontId="2" fillId="16" borderId="0" xfId="0" applyFont="1" applyFill="1" applyAlignment="1">
      <alignment vertical="center" wrapText="1"/>
    </xf>
    <xf numFmtId="0" fontId="5" fillId="2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17" borderId="0" xfId="0" applyFont="1" applyFill="1" applyAlignment="1">
      <alignment horizontal="justify" vertical="center" wrapText="1"/>
    </xf>
    <xf numFmtId="0" fontId="2" fillId="17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5" fillId="18" borderId="0" xfId="0" applyFont="1" applyFill="1" applyAlignment="1">
      <alignment horizontal="justify" vertical="center" wrapText="1"/>
    </xf>
    <xf numFmtId="0" fontId="2" fillId="18" borderId="0" xfId="0" applyFont="1" applyFill="1" applyAlignment="1">
      <alignment vertical="center" wrapText="1"/>
    </xf>
    <xf numFmtId="10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F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'Offical juice shop percentages'!$B$1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7-4762-A45F-2AA266A6283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C7-4762-A45F-2AA266A6283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7-4762-A45F-2AA266A6283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8C7-4762-A45F-2AA266A6283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C7-4762-A45F-2AA266A6283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8C7-4762-A45F-2AA266A6283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C7-4762-A45F-2AA266A6283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8C7-4762-A45F-2AA266A6283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C7-4762-A45F-2AA266A6283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8C7-4762-A45F-2AA266A6283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C7-4762-A45F-2AA266A62831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8C7-4762-A45F-2AA266A62831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8C7-4762-A45F-2AA266A62831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B8C7-4762-A45F-2AA266A62831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8C7-4762-A45F-2AA266A62831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B8C7-4762-A45F-2AA266A628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'Offical juice shop percentages'!$A$2:$A$17</c:f>
              <c:strCache>
                <c:ptCount val="15"/>
                <c:pt idx="0">
                  <c:v>Cross Site Scripting (XSS)</c:v>
                </c:pt>
                <c:pt idx="1">
                  <c:v>Sensitive Data Exposure</c:v>
                </c:pt>
                <c:pt idx="2">
                  <c:v>Improper Input Validation</c:v>
                </c:pt>
                <c:pt idx="3">
                  <c:v>Broken Access Control</c:v>
                </c:pt>
                <c:pt idx="4">
                  <c:v>Vulnerable Components</c:v>
                </c:pt>
                <c:pt idx="5">
                  <c:v>Broken Authentication</c:v>
                </c:pt>
                <c:pt idx="6">
                  <c:v>Security through Obscurity</c:v>
                </c:pt>
                <c:pt idx="7">
                  <c:v>Miscellaneous</c:v>
                </c:pt>
                <c:pt idx="8">
                  <c:v>Insecure Deserialization</c:v>
                </c:pt>
                <c:pt idx="9">
                  <c:v>Broken Anti Automation</c:v>
                </c:pt>
                <c:pt idx="10">
                  <c:v>Injection</c:v>
                </c:pt>
                <c:pt idx="11">
                  <c:v>Security Misconfiguration</c:v>
                </c:pt>
                <c:pt idx="12">
                  <c:v>Cryptographic Issues</c:v>
                </c:pt>
                <c:pt idx="13">
                  <c:v>Unvalidated Redirects</c:v>
                </c:pt>
                <c:pt idx="14">
                  <c:v>XML External Entities (XXE)</c:v>
                </c:pt>
              </c:strCache>
            </c:strRef>
          </c:cat>
          <c:val>
            <c:numRef>
              <c:f>'Offical juice shop percentages'!$B$2:$B$17</c:f>
              <c:numCache>
                <c:formatCode>General</c:formatCode>
                <c:ptCount val="16"/>
                <c:pt idx="0">
                  <c:v>8.5</c:v>
                </c:pt>
                <c:pt idx="1">
                  <c:v>16</c:v>
                </c:pt>
                <c:pt idx="2">
                  <c:v>11.3</c:v>
                </c:pt>
                <c:pt idx="3">
                  <c:v>10.4</c:v>
                </c:pt>
                <c:pt idx="4">
                  <c:v>8.5</c:v>
                </c:pt>
                <c:pt idx="5">
                  <c:v>8.5</c:v>
                </c:pt>
                <c:pt idx="6">
                  <c:v>2.5</c:v>
                </c:pt>
                <c:pt idx="7">
                  <c:v>5.7</c:v>
                </c:pt>
                <c:pt idx="8">
                  <c:v>1.3</c:v>
                </c:pt>
                <c:pt idx="9">
                  <c:v>3.8</c:v>
                </c:pt>
                <c:pt idx="10">
                  <c:v>10.4</c:v>
                </c:pt>
                <c:pt idx="11">
                  <c:v>3.8</c:v>
                </c:pt>
                <c:pt idx="12">
                  <c:v>5.5</c:v>
                </c:pt>
                <c:pt idx="13">
                  <c:v>1.4</c:v>
                </c:pt>
                <c:pt idx="14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7-4762-A45F-2AA266A6283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FI" baseline="0"/>
              <a:t>Count of valid and false positive code vulnerabilities reported by Snyk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'Snyk percentage'!$B$1</c:f>
              <c:strCache>
                <c:ptCount val="1"/>
                <c:pt idx="0">
                  <c:v>Valid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'Snyk percentage'!$A$2:$A$19</c:f>
              <c:strCache>
                <c:ptCount val="18"/>
                <c:pt idx="0">
                  <c:v>Allocation of Resources Without Limits or Throttling</c:v>
                </c:pt>
                <c:pt idx="1">
                  <c:v>Cleartext Transmission - HTTP Instead of HTTPS</c:v>
                </c:pt>
                <c:pt idx="2">
                  <c:v>Cross-Site Request Forgery (CSRF)</c:v>
                </c:pt>
                <c:pt idx="3">
                  <c:v>Cross-site Scripting (XSS)</c:v>
                </c:pt>
                <c:pt idx="4">
                  <c:v>DOM-based Cross-site Scripting (XSS)</c:v>
                </c:pt>
                <c:pt idx="5">
                  <c:v>Hardcoded Non-Cryptographic Secret</c:v>
                </c:pt>
                <c:pt idx="6">
                  <c:v>Hardcoded secrets</c:v>
                </c:pt>
                <c:pt idx="7">
                  <c:v>Improper Type Validation</c:v>
                </c:pt>
                <c:pt idx="8">
                  <c:v>Information Exposure - Server Error Message</c:v>
                </c:pt>
                <c:pt idx="9">
                  <c:v>Insecure JWT Verification Method</c:v>
                </c:pt>
                <c:pt idx="10">
                  <c:v>NoSQL Injection</c:v>
                </c:pt>
                <c:pt idx="11">
                  <c:v>Open Redirect</c:v>
                </c:pt>
                <c:pt idx="12">
                  <c:v>Path Traversal</c:v>
                </c:pt>
                <c:pt idx="13">
                  <c:v>Prototype Pollution</c:v>
                </c:pt>
                <c:pt idx="14">
                  <c:v>Server-Side Request Forgery (SSRF)</c:v>
                </c:pt>
                <c:pt idx="15">
                  <c:v>SQL Injection</c:v>
                </c:pt>
                <c:pt idx="16">
                  <c:v>Use of Hardcoded Credentials or Passwords</c:v>
                </c:pt>
                <c:pt idx="17">
                  <c:v>Use of Password Hash With Insufficient Computational Effort</c:v>
                </c:pt>
              </c:strCache>
            </c:strRef>
          </c:cat>
          <c:val>
            <c:numRef>
              <c:f>'Snyk percentage'!$B$2:$B$19</c:f>
              <c:numCache>
                <c:formatCode>General</c:formatCode>
                <c:ptCount val="18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0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4-4BD9-8E05-041B33503107}"/>
            </c:ext>
          </c:extLst>
        </c:ser>
        <c:ser>
          <c:idx val="1"/>
          <c:order val="1"/>
          <c:tx>
            <c:strRef>
              <c:f>'Snyk percentage'!$D$1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'Snyk percentage'!$A$2:$A$19</c:f>
              <c:strCache>
                <c:ptCount val="18"/>
                <c:pt idx="0">
                  <c:v>Allocation of Resources Without Limits or Throttling</c:v>
                </c:pt>
                <c:pt idx="1">
                  <c:v>Cleartext Transmission - HTTP Instead of HTTPS</c:v>
                </c:pt>
                <c:pt idx="2">
                  <c:v>Cross-Site Request Forgery (CSRF)</c:v>
                </c:pt>
                <c:pt idx="3">
                  <c:v>Cross-site Scripting (XSS)</c:v>
                </c:pt>
                <c:pt idx="4">
                  <c:v>DOM-based Cross-site Scripting (XSS)</c:v>
                </c:pt>
                <c:pt idx="5">
                  <c:v>Hardcoded Non-Cryptographic Secret</c:v>
                </c:pt>
                <c:pt idx="6">
                  <c:v>Hardcoded secrets</c:v>
                </c:pt>
                <c:pt idx="7">
                  <c:v>Improper Type Validation</c:v>
                </c:pt>
                <c:pt idx="8">
                  <c:v>Information Exposure - Server Error Message</c:v>
                </c:pt>
                <c:pt idx="9">
                  <c:v>Insecure JWT Verification Method</c:v>
                </c:pt>
                <c:pt idx="10">
                  <c:v>NoSQL Injection</c:v>
                </c:pt>
                <c:pt idx="11">
                  <c:v>Open Redirect</c:v>
                </c:pt>
                <c:pt idx="12">
                  <c:v>Path Traversal</c:v>
                </c:pt>
                <c:pt idx="13">
                  <c:v>Prototype Pollution</c:v>
                </c:pt>
                <c:pt idx="14">
                  <c:v>Server-Side Request Forgery (SSRF)</c:v>
                </c:pt>
                <c:pt idx="15">
                  <c:v>SQL Injection</c:v>
                </c:pt>
                <c:pt idx="16">
                  <c:v>Use of Hardcoded Credentials or Passwords</c:v>
                </c:pt>
                <c:pt idx="17">
                  <c:v>Use of Password Hash With Insufficient Computational Effort</c:v>
                </c:pt>
              </c:strCache>
            </c:strRef>
          </c:cat>
          <c:val>
            <c:numRef>
              <c:f>'Snyk percentage'!$D$2:$D$19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4-4BD9-8E05-041B335031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4463680"/>
        <c:axId val="1844463200"/>
      </c:barChart>
      <c:catAx>
        <c:axId val="18444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44463200"/>
        <c:crosses val="autoZero"/>
        <c:auto val="1"/>
        <c:lblAlgn val="ctr"/>
        <c:lblOffset val="100"/>
        <c:noMultiLvlLbl val="0"/>
      </c:catAx>
      <c:valAx>
        <c:axId val="18444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4446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F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'Snyk percentage'!$Y$1</c:f>
              <c:strCache>
                <c:ptCount val="1"/>
                <c:pt idx="0">
                  <c:v>Percentages of total found vulnerabilities in the app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3-4924-8749-5315404070F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43-4924-8749-5315404070F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3-4924-8749-5315404070F5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43-4924-8749-5315404070F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43-4924-8749-5315404070F5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B43-4924-8749-5315404070F5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43-4924-8749-5315404070F5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B43-4924-8749-5315404070F5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43-4924-8749-5315404070F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B43-4924-8749-5315404070F5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43-4924-8749-5315404070F5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43-4924-8749-5315404070F5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43-4924-8749-5315404070F5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B43-4924-8749-5315404070F5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43-4924-8749-5315404070F5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43-4924-8749-5315404070F5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43-4924-8749-5315404070F5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43-4924-8749-5315404070F5}"/>
              </c:ext>
            </c:extLst>
          </c:dPt>
          <c:dLbls>
            <c:dLbl>
              <c:idx val="0"/>
              <c:layout>
                <c:manualLayout>
                  <c:x val="0.13939878747677353"/>
                  <c:y val="-1.615960429752164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43-4924-8749-5315404070F5}"/>
                </c:ext>
              </c:extLst>
            </c:dLbl>
            <c:dLbl>
              <c:idx val="2"/>
              <c:layout>
                <c:manualLayout>
                  <c:x val="-0.14567834118659356"/>
                  <c:y val="0.2713518205291285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43-4924-8749-5315404070F5}"/>
                </c:ext>
              </c:extLst>
            </c:dLbl>
            <c:dLbl>
              <c:idx val="3"/>
              <c:layout>
                <c:manualLayout>
                  <c:x val="-0.21146855978699067"/>
                  <c:y val="2.686651688407214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43-4924-8749-5315404070F5}"/>
                </c:ext>
              </c:extLst>
            </c:dLbl>
            <c:dLbl>
              <c:idx val="4"/>
              <c:layout>
                <c:manualLayout>
                  <c:x val="-0.21898744191275032"/>
                  <c:y val="0.236425348579834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43-4924-8749-5315404070F5}"/>
                </c:ext>
              </c:extLst>
            </c:dLbl>
            <c:dLbl>
              <c:idx val="5"/>
              <c:layout>
                <c:manualLayout>
                  <c:x val="-0.18797205314399171"/>
                  <c:y val="-8.059955065221642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43-4924-8749-5315404070F5}"/>
                </c:ext>
              </c:extLst>
            </c:dLbl>
            <c:dLbl>
              <c:idx val="6"/>
              <c:layout>
                <c:manualLayout>
                  <c:x val="-0.22462660350707009"/>
                  <c:y val="0.2847850789711646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43-4924-8749-5315404070F5}"/>
                </c:ext>
              </c:extLst>
            </c:dLbl>
            <c:dLbl>
              <c:idx val="8"/>
              <c:layout>
                <c:manualLayout>
                  <c:x val="-8.9286725243396092E-2"/>
                  <c:y val="-4.16431011703118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43-4924-8749-5315404070F5}"/>
                </c:ext>
              </c:extLst>
            </c:dLbl>
            <c:dLbl>
              <c:idx val="9"/>
              <c:layout>
                <c:manualLayout>
                  <c:x val="-0.24812311015006905"/>
                  <c:y val="-3.76131236377010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B43-4924-8749-5315404070F5}"/>
                </c:ext>
              </c:extLst>
            </c:dLbl>
            <c:dLbl>
              <c:idx val="14"/>
              <c:layout>
                <c:manualLayout>
                  <c:x val="6.9699393738386767E-2"/>
                  <c:y val="-3.501247597796355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B43-4924-8749-5315404070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'Snyk percentage'!$U$2:$U$19</c:f>
              <c:strCache>
                <c:ptCount val="15"/>
                <c:pt idx="0">
                  <c:v>Cross Site Scripting (XSS)</c:v>
                </c:pt>
                <c:pt idx="1">
                  <c:v>Sensitive Data Exposure</c:v>
                </c:pt>
                <c:pt idx="2">
                  <c:v>Improper Input Validation</c:v>
                </c:pt>
                <c:pt idx="3">
                  <c:v>Broken Access Control</c:v>
                </c:pt>
                <c:pt idx="4">
                  <c:v>Vulnerable Components</c:v>
                </c:pt>
                <c:pt idx="5">
                  <c:v>Broken Authentication</c:v>
                </c:pt>
                <c:pt idx="6">
                  <c:v>Security through Obscurity</c:v>
                </c:pt>
                <c:pt idx="7">
                  <c:v>Miscellaneous</c:v>
                </c:pt>
                <c:pt idx="8">
                  <c:v>Insecure Deserialization</c:v>
                </c:pt>
                <c:pt idx="9">
                  <c:v>Broken Anti Automation</c:v>
                </c:pt>
                <c:pt idx="10">
                  <c:v>Injection</c:v>
                </c:pt>
                <c:pt idx="11">
                  <c:v>Security Misconfiguration</c:v>
                </c:pt>
                <c:pt idx="12">
                  <c:v>Cryptographic Issues</c:v>
                </c:pt>
                <c:pt idx="13">
                  <c:v>Unvalidated Redirects</c:v>
                </c:pt>
                <c:pt idx="14">
                  <c:v>XML External Entities (XXE)</c:v>
                </c:pt>
              </c:strCache>
            </c:strRef>
          </c:cat>
          <c:val>
            <c:numRef>
              <c:f>'Snyk percentage'!$Y$2:$Y$19</c:f>
              <c:numCache>
                <c:formatCode>0.00%</c:formatCode>
                <c:ptCount val="18"/>
                <c:pt idx="0">
                  <c:v>3.6764705882352942E-2</c:v>
                </c:pt>
                <c:pt idx="1">
                  <c:v>0.80882352941176472</c:v>
                </c:pt>
                <c:pt idx="2">
                  <c:v>4.0441176470588237E-2</c:v>
                </c:pt>
                <c:pt idx="3">
                  <c:v>2.2058823529411766E-2</c:v>
                </c:pt>
                <c:pt idx="4">
                  <c:v>0</c:v>
                </c:pt>
                <c:pt idx="5">
                  <c:v>7.3529411764705881E-3</c:v>
                </c:pt>
                <c:pt idx="6">
                  <c:v>0</c:v>
                </c:pt>
                <c:pt idx="7">
                  <c:v>3.6764705882352942E-2</c:v>
                </c:pt>
                <c:pt idx="8">
                  <c:v>0</c:v>
                </c:pt>
                <c:pt idx="9">
                  <c:v>0</c:v>
                </c:pt>
                <c:pt idx="10">
                  <c:v>3.6764705882352942E-2</c:v>
                </c:pt>
                <c:pt idx="11">
                  <c:v>0</c:v>
                </c:pt>
                <c:pt idx="12">
                  <c:v>7.3529411764705881E-3</c:v>
                </c:pt>
                <c:pt idx="13">
                  <c:v>3.6764705882352941E-3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3-4924-8749-5315404070F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F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'Snyk percentage'!$Z$1</c:f>
              <c:strCache>
                <c:ptCount val="1"/>
                <c:pt idx="0">
                  <c:v>Percentages of valid found vulnerabilities in the app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20-4511-9E04-C53704478A8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20-4511-9E04-C53704478A8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20-4511-9E04-C53704478A8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20-4511-9E04-C53704478A8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20-4511-9E04-C53704478A8F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B20-4511-9E04-C53704478A8F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20-4511-9E04-C53704478A8F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B20-4511-9E04-C53704478A8F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20-4511-9E04-C53704478A8F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B20-4511-9E04-C53704478A8F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20-4511-9E04-C53704478A8F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20-4511-9E04-C53704478A8F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20-4511-9E04-C53704478A8F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B20-4511-9E04-C53704478A8F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20-4511-9E04-C53704478A8F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20-4511-9E04-C53704478A8F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20-4511-9E04-C53704478A8F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20-4511-9E04-C53704478A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'Snyk percentage'!$U$2:$U$19</c:f>
              <c:strCache>
                <c:ptCount val="15"/>
                <c:pt idx="0">
                  <c:v>Cross Site Scripting (XSS)</c:v>
                </c:pt>
                <c:pt idx="1">
                  <c:v>Sensitive Data Exposure</c:v>
                </c:pt>
                <c:pt idx="2">
                  <c:v>Improper Input Validation</c:v>
                </c:pt>
                <c:pt idx="3">
                  <c:v>Broken Access Control</c:v>
                </c:pt>
                <c:pt idx="4">
                  <c:v>Vulnerable Components</c:v>
                </c:pt>
                <c:pt idx="5">
                  <c:v>Broken Authentication</c:v>
                </c:pt>
                <c:pt idx="6">
                  <c:v>Security through Obscurity</c:v>
                </c:pt>
                <c:pt idx="7">
                  <c:v>Miscellaneous</c:v>
                </c:pt>
                <c:pt idx="8">
                  <c:v>Insecure Deserialization</c:v>
                </c:pt>
                <c:pt idx="9">
                  <c:v>Broken Anti Automation</c:v>
                </c:pt>
                <c:pt idx="10">
                  <c:v>Injection</c:v>
                </c:pt>
                <c:pt idx="11">
                  <c:v>Security Misconfiguration</c:v>
                </c:pt>
                <c:pt idx="12">
                  <c:v>Cryptographic Issues</c:v>
                </c:pt>
                <c:pt idx="13">
                  <c:v>Unvalidated Redirects</c:v>
                </c:pt>
                <c:pt idx="14">
                  <c:v>XML External Entities (XXE)</c:v>
                </c:pt>
              </c:strCache>
            </c:strRef>
          </c:cat>
          <c:val>
            <c:numRef>
              <c:f>'Snyk percentage'!$Z$2:$Z$19</c:f>
              <c:numCache>
                <c:formatCode>0.00%</c:formatCode>
                <c:ptCount val="18"/>
                <c:pt idx="0">
                  <c:v>0.16666666666666666</c:v>
                </c:pt>
                <c:pt idx="1">
                  <c:v>0.13333333333333333</c:v>
                </c:pt>
                <c:pt idx="2">
                  <c:v>0.18333333333333332</c:v>
                </c:pt>
                <c:pt idx="3">
                  <c:v>0.1</c:v>
                </c:pt>
                <c:pt idx="4">
                  <c:v>0</c:v>
                </c:pt>
                <c:pt idx="5">
                  <c:v>3.3333333333333333E-2</c:v>
                </c:pt>
                <c:pt idx="6">
                  <c:v>0</c:v>
                </c:pt>
                <c:pt idx="7">
                  <c:v>0.16666666666666666</c:v>
                </c:pt>
                <c:pt idx="8">
                  <c:v>0</c:v>
                </c:pt>
                <c:pt idx="9">
                  <c:v>0</c:v>
                </c:pt>
                <c:pt idx="10">
                  <c:v>0.16666666666666666</c:v>
                </c:pt>
                <c:pt idx="11">
                  <c:v>0</c:v>
                </c:pt>
                <c:pt idx="12">
                  <c:v>3.3333333333333333E-2</c:v>
                </c:pt>
                <c:pt idx="13">
                  <c:v>1.6666666666666666E-2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0-4511-9E04-C53704478A8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FI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Count of valid and false positive code vulnerabilities reported by SonarQube</a:t>
            </a:r>
            <a:endParaRPr lang="fi-FI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'Sonar percentage'!$B$1</c:f>
              <c:strCache>
                <c:ptCount val="1"/>
                <c:pt idx="0">
                  <c:v>Valid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'Sonar percentage'!$A$2:$A$19</c:f>
              <c:strCache>
                <c:ptCount val="18"/>
                <c:pt idx="0">
                  <c:v> Origin Validation Error</c:v>
                </c:pt>
                <c:pt idx="1">
                  <c:v>Active Debug Code</c:v>
                </c:pt>
                <c:pt idx="2">
                  <c:v>Cleartext Transmission - HTTP Instead of HTTPS</c:v>
                </c:pt>
                <c:pt idx="3">
                  <c:v>Code Injection</c:v>
                </c:pt>
                <c:pt idx="4">
                  <c:v>Cross-site Scripting (XSS)</c:v>
                </c:pt>
                <c:pt idx="5">
                  <c:v>Embedded Malicious Code</c:v>
                </c:pt>
                <c:pt idx="6">
                  <c:v>Improper Input Validation</c:v>
                </c:pt>
                <c:pt idx="7">
                  <c:v>Incorrect Permission Assignment for Critical Resource</c:v>
                </c:pt>
                <c:pt idx="8">
                  <c:v>Missing Support for Integrity Check</c:v>
                </c:pt>
                <c:pt idx="9">
                  <c:v>NoSQL Injection</c:v>
                </c:pt>
                <c:pt idx="10">
                  <c:v>Server-Side Request Forgery (SSRF)</c:v>
                </c:pt>
                <c:pt idx="11">
                  <c:v>SQL Injection (one is corrected to be no sql )</c:v>
                </c:pt>
                <c:pt idx="12">
                  <c:v>URL Redirection to Untrusted Site ('Open Redirect')</c:v>
                </c:pt>
                <c:pt idx="13">
                  <c:v>Use of a Risky Cryptographic Primitive</c:v>
                </c:pt>
                <c:pt idx="14">
                  <c:v>Use of Cryptographically Weak Pseudo-Random Number Generator (PRNG)</c:v>
                </c:pt>
                <c:pt idx="15">
                  <c:v>Use of Hardcoded Credentials</c:v>
                </c:pt>
                <c:pt idx="16">
                  <c:v>Use of Password Hash With Insufficient Computational Effort (correct is Improper Input Validation)</c:v>
                </c:pt>
                <c:pt idx="17">
                  <c:v>Using a hardcoded IP address </c:v>
                </c:pt>
              </c:strCache>
            </c:strRef>
          </c:cat>
          <c:val>
            <c:numRef>
              <c:f>'Sonar percentage'!$B$2:$B$19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  <c:pt idx="5">
                  <c:v>3</c:v>
                </c:pt>
                <c:pt idx="6">
                  <c:v>10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7-44EA-AB83-F7110D472509}"/>
            </c:ext>
          </c:extLst>
        </c:ser>
        <c:ser>
          <c:idx val="1"/>
          <c:order val="1"/>
          <c:tx>
            <c:strRef>
              <c:f>'Sonar percentage'!$D$1</c:f>
              <c:strCache>
                <c:ptCount val="1"/>
                <c:pt idx="0">
                  <c:v>False positive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'Sonar percentage'!$A$2:$A$19</c:f>
              <c:strCache>
                <c:ptCount val="18"/>
                <c:pt idx="0">
                  <c:v> Origin Validation Error</c:v>
                </c:pt>
                <c:pt idx="1">
                  <c:v>Active Debug Code</c:v>
                </c:pt>
                <c:pt idx="2">
                  <c:v>Cleartext Transmission - HTTP Instead of HTTPS</c:v>
                </c:pt>
                <c:pt idx="3">
                  <c:v>Code Injection</c:v>
                </c:pt>
                <c:pt idx="4">
                  <c:v>Cross-site Scripting (XSS)</c:v>
                </c:pt>
                <c:pt idx="5">
                  <c:v>Embedded Malicious Code</c:v>
                </c:pt>
                <c:pt idx="6">
                  <c:v>Improper Input Validation</c:v>
                </c:pt>
                <c:pt idx="7">
                  <c:v>Incorrect Permission Assignment for Critical Resource</c:v>
                </c:pt>
                <c:pt idx="8">
                  <c:v>Missing Support for Integrity Check</c:v>
                </c:pt>
                <c:pt idx="9">
                  <c:v>NoSQL Injection</c:v>
                </c:pt>
                <c:pt idx="10">
                  <c:v>Server-Side Request Forgery (SSRF)</c:v>
                </c:pt>
                <c:pt idx="11">
                  <c:v>SQL Injection (one is corrected to be no sql )</c:v>
                </c:pt>
                <c:pt idx="12">
                  <c:v>URL Redirection to Untrusted Site ('Open Redirect')</c:v>
                </c:pt>
                <c:pt idx="13">
                  <c:v>Use of a Risky Cryptographic Primitive</c:v>
                </c:pt>
                <c:pt idx="14">
                  <c:v>Use of Cryptographically Weak Pseudo-Random Number Generator (PRNG)</c:v>
                </c:pt>
                <c:pt idx="15">
                  <c:v>Use of Hardcoded Credentials</c:v>
                </c:pt>
                <c:pt idx="16">
                  <c:v>Use of Password Hash With Insufficient Computational Effort (correct is Improper Input Validation)</c:v>
                </c:pt>
                <c:pt idx="17">
                  <c:v>Using a hardcoded IP address </c:v>
                </c:pt>
              </c:strCache>
            </c:strRef>
          </c:cat>
          <c:val>
            <c:numRef>
              <c:f>'Sonar percentage'!$D$2:$D$19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</c:v>
                </c:pt>
                <c:pt idx="15">
                  <c:v>171</c:v>
                </c:pt>
                <c:pt idx="16">
                  <c:v>1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7-44EA-AB83-F7110D472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6890784"/>
        <c:axId val="1866890304"/>
      </c:barChart>
      <c:catAx>
        <c:axId val="186689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66890304"/>
        <c:crosses val="autoZero"/>
        <c:auto val="1"/>
        <c:lblAlgn val="ctr"/>
        <c:lblOffset val="100"/>
        <c:noMultiLvlLbl val="0"/>
      </c:catAx>
      <c:valAx>
        <c:axId val="186689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6689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F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'Sonar percentage'!$R$1</c:f>
              <c:strCache>
                <c:ptCount val="1"/>
                <c:pt idx="0">
                  <c:v>Percentages of total found vulnerabilities in the app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F8-4217-8FDF-BFDA42C6CAA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CF8-4217-8FDF-BFDA42C6CAA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F8-4217-8FDF-BFDA42C6CAA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CF8-4217-8FDF-BFDA42C6CAA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F8-4217-8FDF-BFDA42C6CAA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CF8-4217-8FDF-BFDA42C6CAA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F8-4217-8FDF-BFDA42C6CAA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CF8-4217-8FDF-BFDA42C6CAA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F8-4217-8FDF-BFDA42C6CAA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CF8-4217-8FDF-BFDA42C6CAA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F8-4217-8FDF-BFDA42C6CAA1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CF8-4217-8FDF-BFDA42C6CAA1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F8-4217-8FDF-BFDA42C6CAA1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CF8-4217-8FDF-BFDA42C6CAA1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F8-4217-8FDF-BFDA42C6CAA1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CF8-4217-8FDF-BFDA42C6CAA1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CF8-4217-8FDF-BFDA42C6CAA1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CF8-4217-8FDF-BFDA42C6CAA1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F8-4217-8FDF-BFDA42C6CA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'Sonar percentage'!$N$2:$N$20</c:f>
              <c:strCache>
                <c:ptCount val="15"/>
                <c:pt idx="0">
                  <c:v>Cross Site Scripting (XSS)</c:v>
                </c:pt>
                <c:pt idx="1">
                  <c:v>Sensitive Data Exposure</c:v>
                </c:pt>
                <c:pt idx="2">
                  <c:v>Improper Input Validation</c:v>
                </c:pt>
                <c:pt idx="3">
                  <c:v>Broken Access Control</c:v>
                </c:pt>
                <c:pt idx="4">
                  <c:v>Vulnerable Components</c:v>
                </c:pt>
                <c:pt idx="5">
                  <c:v>Broken Authentication</c:v>
                </c:pt>
                <c:pt idx="6">
                  <c:v>Security through Obscurity</c:v>
                </c:pt>
                <c:pt idx="7">
                  <c:v>Miscellaneous</c:v>
                </c:pt>
                <c:pt idx="8">
                  <c:v>Insecure Deserialization</c:v>
                </c:pt>
                <c:pt idx="9">
                  <c:v>Broken Anti Automation</c:v>
                </c:pt>
                <c:pt idx="10">
                  <c:v>Injection</c:v>
                </c:pt>
                <c:pt idx="11">
                  <c:v>Security Misconfiguration</c:v>
                </c:pt>
                <c:pt idx="12">
                  <c:v>Cryptographic Issues</c:v>
                </c:pt>
                <c:pt idx="13">
                  <c:v>Unvalidated Redirects</c:v>
                </c:pt>
                <c:pt idx="14">
                  <c:v>XML External Entities (XXE)</c:v>
                </c:pt>
              </c:strCache>
            </c:strRef>
          </c:cat>
          <c:val>
            <c:numRef>
              <c:f>'Sonar percentage'!$R$2:$R$20</c:f>
              <c:numCache>
                <c:formatCode>0.00%</c:formatCode>
                <c:ptCount val="19"/>
                <c:pt idx="0">
                  <c:v>3.1578947368421054E-2</c:v>
                </c:pt>
                <c:pt idx="1">
                  <c:v>0.77543859649122804</c:v>
                </c:pt>
                <c:pt idx="2">
                  <c:v>6.6666666666666666E-2</c:v>
                </c:pt>
                <c:pt idx="3">
                  <c:v>1.0526315789473684E-2</c:v>
                </c:pt>
                <c:pt idx="4">
                  <c:v>1.0526315789473684E-2</c:v>
                </c:pt>
                <c:pt idx="5">
                  <c:v>3.5087719298245615E-3</c:v>
                </c:pt>
                <c:pt idx="6">
                  <c:v>0</c:v>
                </c:pt>
                <c:pt idx="7">
                  <c:v>3.5087719298245615E-3</c:v>
                </c:pt>
                <c:pt idx="8">
                  <c:v>0</c:v>
                </c:pt>
                <c:pt idx="9">
                  <c:v>0</c:v>
                </c:pt>
                <c:pt idx="10">
                  <c:v>4.2105263157894736E-2</c:v>
                </c:pt>
                <c:pt idx="11">
                  <c:v>0</c:v>
                </c:pt>
                <c:pt idx="12">
                  <c:v>5.2631578947368418E-2</c:v>
                </c:pt>
                <c:pt idx="13">
                  <c:v>3.5087719298245615E-3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8-4217-8FDF-BFDA42C6CAA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FI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'Sonar percentage'!$S$1</c:f>
              <c:strCache>
                <c:ptCount val="1"/>
                <c:pt idx="0">
                  <c:v>Percentages of valid found vulnerabilitiesin the app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D-4562-8161-E3C0974F687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D-4562-8161-E3C0974F687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CD-4562-8161-E3C0974F687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1CD-4562-8161-E3C0974F687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CD-4562-8161-E3C0974F6873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1CD-4562-8161-E3C0974F6873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CD-4562-8161-E3C0974F6873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1CD-4562-8161-E3C0974F6873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CD-4562-8161-E3C0974F6873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1CD-4562-8161-E3C0974F6873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CD-4562-8161-E3C0974F6873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1CD-4562-8161-E3C0974F6873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CD-4562-8161-E3C0974F6873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1CD-4562-8161-E3C0974F6873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CD-4562-8161-E3C0974F6873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1CD-4562-8161-E3C0974F6873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CD-4562-8161-E3C0974F6873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1CD-4562-8161-E3C0974F6873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1CD-4562-8161-E3C0974F68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'Sonar percentage'!$N$2:$N$20</c:f>
              <c:strCache>
                <c:ptCount val="15"/>
                <c:pt idx="0">
                  <c:v>Cross Site Scripting (XSS)</c:v>
                </c:pt>
                <c:pt idx="1">
                  <c:v>Sensitive Data Exposure</c:v>
                </c:pt>
                <c:pt idx="2">
                  <c:v>Improper Input Validation</c:v>
                </c:pt>
                <c:pt idx="3">
                  <c:v>Broken Access Control</c:v>
                </c:pt>
                <c:pt idx="4">
                  <c:v>Vulnerable Components</c:v>
                </c:pt>
                <c:pt idx="5">
                  <c:v>Broken Authentication</c:v>
                </c:pt>
                <c:pt idx="6">
                  <c:v>Security through Obscurity</c:v>
                </c:pt>
                <c:pt idx="7">
                  <c:v>Miscellaneous</c:v>
                </c:pt>
                <c:pt idx="8">
                  <c:v>Insecure Deserialization</c:v>
                </c:pt>
                <c:pt idx="9">
                  <c:v>Broken Anti Automation</c:v>
                </c:pt>
                <c:pt idx="10">
                  <c:v>Injection</c:v>
                </c:pt>
                <c:pt idx="11">
                  <c:v>Security Misconfiguration</c:v>
                </c:pt>
                <c:pt idx="12">
                  <c:v>Cryptographic Issues</c:v>
                </c:pt>
                <c:pt idx="13">
                  <c:v>Unvalidated Redirects</c:v>
                </c:pt>
                <c:pt idx="14">
                  <c:v>XML External Entities (XXE)</c:v>
                </c:pt>
              </c:strCache>
            </c:strRef>
          </c:cat>
          <c:val>
            <c:numRef>
              <c:f>'Sonar percentage'!$S$2:$S$20</c:f>
              <c:numCache>
                <c:formatCode>0.00%</c:formatCode>
                <c:ptCount val="19"/>
                <c:pt idx="0">
                  <c:v>0.18</c:v>
                </c:pt>
                <c:pt idx="1">
                  <c:v>0.12</c:v>
                </c:pt>
                <c:pt idx="2">
                  <c:v>0.2</c:v>
                </c:pt>
                <c:pt idx="3">
                  <c:v>0.06</c:v>
                </c:pt>
                <c:pt idx="4">
                  <c:v>0.06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0.24</c:v>
                </c:pt>
                <c:pt idx="11">
                  <c:v>0</c:v>
                </c:pt>
                <c:pt idx="12">
                  <c:v>0.08</c:v>
                </c:pt>
                <c:pt idx="13">
                  <c:v>0.02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D-4562-8161-E3C0974F687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1</xdr:row>
      <xdr:rowOff>598170</xdr:rowOff>
    </xdr:from>
    <xdr:to>
      <xdr:col>11</xdr:col>
      <xdr:colOff>175260</xdr:colOff>
      <xdr:row>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33B83-9FC2-E197-B6EA-1E7849D4A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563337</xdr:colOff>
      <xdr:row>28</xdr:row>
      <xdr:rowOff>79192</xdr:rowOff>
    </xdr:from>
    <xdr:to>
      <xdr:col>20</xdr:col>
      <xdr:colOff>939800</xdr:colOff>
      <xdr:row>67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F9BA96-DC3B-DD30-B357-B1A899242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2865120</xdr:colOff>
      <xdr:row>11</xdr:row>
      <xdr:rowOff>60960</xdr:rowOff>
    </xdr:from>
    <xdr:to>
      <xdr:col>30</xdr:col>
      <xdr:colOff>2722958</xdr:colOff>
      <xdr:row>34</xdr:row>
      <xdr:rowOff>82423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7060D-3302-FA48-0FEF-88A8C6BA9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90407</xdr:colOff>
      <xdr:row>1</xdr:row>
      <xdr:rowOff>216976</xdr:rowOff>
    </xdr:from>
    <xdr:to>
      <xdr:col>25</xdr:col>
      <xdr:colOff>1588576</xdr:colOff>
      <xdr:row>9</xdr:row>
      <xdr:rowOff>67159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EE42BE-488A-9862-6CFC-16FBA86B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134140</xdr:colOff>
      <xdr:row>23</xdr:row>
      <xdr:rowOff>63406</xdr:rowOff>
    </xdr:from>
    <xdr:to>
      <xdr:col>27</xdr:col>
      <xdr:colOff>466946</xdr:colOff>
      <xdr:row>114</xdr:row>
      <xdr:rowOff>134392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736BE-CFBF-0BEF-A5D3-E8A354DED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472226</xdr:colOff>
      <xdr:row>17</xdr:row>
      <xdr:rowOff>21185</xdr:rowOff>
    </xdr:from>
    <xdr:to>
      <xdr:col>18</xdr:col>
      <xdr:colOff>611747</xdr:colOff>
      <xdr:row>21</xdr:row>
      <xdr:rowOff>90991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53BA46-CD39-89B8-90B0-280068564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225414</xdr:colOff>
      <xdr:row>10</xdr:row>
      <xdr:rowOff>14867</xdr:rowOff>
    </xdr:from>
    <xdr:to>
      <xdr:col>26</xdr:col>
      <xdr:colOff>544447</xdr:colOff>
      <xdr:row>17</xdr:row>
      <xdr:rowOff>967950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B39740-788F-E201-B2A7-D68F1C755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hourani/thesis-owasp-juice-shop/tree/8f016f0f701d767d9a5fa3b225bb7f1759a06429/test/api/productReviewApiSpec.ts" TargetMode="External"/><Relationship Id="rId21" Type="http://schemas.openxmlformats.org/officeDocument/2006/relationships/hyperlink" Target="https://github.com/rhourani/thesis-owasp-juice-shop/blob/8f016f0f701d767d9a5fa3b225bb7f1759a06429/routes/fileServer.ts" TargetMode="External"/><Relationship Id="rId63" Type="http://schemas.openxmlformats.org/officeDocument/2006/relationships/hyperlink" Target="https://github.com/rhourani/thesis-owasp-juice-shop/blob/8f016f0f701d767d9a5fa3b225bb7f1759a06429/test/cypress/e2e/deluxe.spec.ts" TargetMode="External"/><Relationship Id="rId159" Type="http://schemas.openxmlformats.org/officeDocument/2006/relationships/hyperlink" Target="https://github.com/rhourani/thesis-owasp-juice-shop/tree/8f016f0f701d767d9a5fa3b225bb7f1759a06429/test/api/deluxeApiSpec.ts" TargetMode="External"/><Relationship Id="rId170" Type="http://schemas.openxmlformats.org/officeDocument/2006/relationships/hyperlink" Target="https://github.com/rhourani/thesis-owasp-juice-shop/tree/8f016f0f701d767d9a5fa3b225bb7f1759a06429/test/api/dataExportApiSpec.ts" TargetMode="External"/><Relationship Id="rId226" Type="http://schemas.openxmlformats.org/officeDocument/2006/relationships/hyperlink" Target="https://github.com/rhourani/thesis-owasp-juice-shop/tree/8f016f0f701d767d9a5fa3b225bb7f1759a06429/test/api/2faSpec.ts" TargetMode="External"/><Relationship Id="rId268" Type="http://schemas.openxmlformats.org/officeDocument/2006/relationships/hyperlink" Target="https://github.com/rhourani/thesis-owasp-juice-shop/tree/8f016f0f701d767d9a5fa3b225bb7f1759a06429/test/server/webhookSpec.ts" TargetMode="External"/><Relationship Id="rId11" Type="http://schemas.openxmlformats.org/officeDocument/2006/relationships/hyperlink" Target="https://github.com/rhourani/thesis-owasp-juice-shop/blob/8f016f0f701d767d9a5fa3b225bb7f1759a06429/frontend/src/app/app.guard.spec.ts" TargetMode="External"/><Relationship Id="rId32" Type="http://schemas.openxmlformats.org/officeDocument/2006/relationships/hyperlink" Target="https://github.com/rhourani/thesis-owasp-juice-shop/blob/8f016f0f701d767d9a5fa3b225bb7f1759a06429/frontend/src/app/data-export/data-export.component.ts" TargetMode="External"/><Relationship Id="rId53" Type="http://schemas.openxmlformats.org/officeDocument/2006/relationships/hyperlink" Target="https://github.com/rhourani/thesis-owasp-juice-shop/tree/8f016f0f701d767d9a5fa3b225bb7f1759a06429/test/api/basketItemApiSpec.ts" TargetMode="External"/><Relationship Id="rId74" Type="http://schemas.openxmlformats.org/officeDocument/2006/relationships/hyperlink" Target="https://github.com/rhourani/thesis-owasp-juice-shop/tree/8f016f0f701d767d9a5fa3b225bb7f1759a06429/test/cypress/e2e/changePassword.spec.ts" TargetMode="External"/><Relationship Id="rId128" Type="http://schemas.openxmlformats.org/officeDocument/2006/relationships/hyperlink" Target="https://github.com/rhourani/thesis-owasp-juice-shop/tree/8f016f0f701d767d9a5fa3b225bb7f1759a06429/test/api/memoryApiSpec.ts" TargetMode="External"/><Relationship Id="rId149" Type="http://schemas.openxmlformats.org/officeDocument/2006/relationships/hyperlink" Target="https://github.com/rhourani/thesis-owasp-juice-shop/tree/8f016f0f701d767d9a5fa3b225bb7f1759a06429/test/api/erasureRequestApiSpec.ts" TargetMode="External"/><Relationship Id="rId5" Type="http://schemas.openxmlformats.org/officeDocument/2006/relationships/hyperlink" Target="https://github.com/rhourani/thesis-owasp-juice-shop/blob/8f016f0f701d767d9a5fa3b225bb7f1759a06429/routes/likeProductReviews.ts" TargetMode="External"/><Relationship Id="rId95" Type="http://schemas.openxmlformats.org/officeDocument/2006/relationships/hyperlink" Target="https://github.com/rhourani/thesis-owasp-juice-shop/tree/8f016f0f701d767d9a5fa3b225bb7f1759a06429/test/api/profileImageUploadSpec.ts" TargetMode="External"/><Relationship Id="rId160" Type="http://schemas.openxmlformats.org/officeDocument/2006/relationships/hyperlink" Target="https://github.com/rhourani/thesis-owasp-juice-shop/tree/8f016f0f701d767d9a5fa3b225bb7f1759a06429/test/api/deluxeApiSpec.ts" TargetMode="External"/><Relationship Id="rId181" Type="http://schemas.openxmlformats.org/officeDocument/2006/relationships/hyperlink" Target="https://github.com/rhourani/thesis-owasp-juice-shop/tree/8f016f0f701d767d9a5fa3b225bb7f1759a06429/test/api/2faSpec.ts" TargetMode="External"/><Relationship Id="rId216" Type="http://schemas.openxmlformats.org/officeDocument/2006/relationships/hyperlink" Target="https://github.com/rhourani/thesis-owasp-juice-shop/tree/8f016f0f701d767d9a5fa3b225bb7f1759a06429/test/api/2faSpec.ts" TargetMode="External"/><Relationship Id="rId237" Type="http://schemas.openxmlformats.org/officeDocument/2006/relationships/hyperlink" Target="https://github.com/rhourani/thesis-owasp-juice-shop/tree/8f016f0f701d767d9a5fa3b225bb7f1759a06429/test/cypress/e2e/profile.spec.ts" TargetMode="External"/><Relationship Id="rId258" Type="http://schemas.openxmlformats.org/officeDocument/2006/relationships/hyperlink" Target="https://github.com/rhourani/thesis-owasp-juice-shop/tree/8f016f0f701d767d9a5fa3b225bb7f1759a06429/server.ts" TargetMode="External"/><Relationship Id="rId22" Type="http://schemas.openxmlformats.org/officeDocument/2006/relationships/hyperlink" Target="https://github.com/rhourani/thesis-owasp-juice-shop/blob/8f016f0f701d767d9a5fa3b225bb7f1759a06429/routes/userProfile.ts" TargetMode="External"/><Relationship Id="rId43" Type="http://schemas.openxmlformats.org/officeDocument/2006/relationships/hyperlink" Target="https://github.com/rhourani/thesis-owasp-juice-shop/blob/8f016f0f701d767d9a5fa3b225bb7f1759a06429/routes/premiumReward.ts" TargetMode="External"/><Relationship Id="rId64" Type="http://schemas.openxmlformats.org/officeDocument/2006/relationships/hyperlink" Target="https://github.com/rhourani/thesis-owasp-juice-shop/tree/8f016f0f701d767d9a5fa3b225bb7f1759a06429/test/cypress/e2e/deluxe.spec.ts" TargetMode="External"/><Relationship Id="rId118" Type="http://schemas.openxmlformats.org/officeDocument/2006/relationships/hyperlink" Target="https://github.com/rhourani/thesis-owasp-juice-shop/tree/8f016f0f701d767d9a5fa3b225bb7f1759a06429/test/api/productReviewApiSpec.ts" TargetMode="External"/><Relationship Id="rId139" Type="http://schemas.openxmlformats.org/officeDocument/2006/relationships/hyperlink" Target="https://github.com/rhourani/thesis-owasp-juice-shop/tree/8f016f0f701d767d9a5fa3b225bb7f1759a06429/test/api/loginApiSpec.ts" TargetMode="External"/><Relationship Id="rId85" Type="http://schemas.openxmlformats.org/officeDocument/2006/relationships/hyperlink" Target="https://github.com/rhourani/thesis-owasp-juice-shop/tree/8f016f0f701d767d9a5fa3b225bb7f1759a06429/test/cypress/e2e/b2bOrder.spec.ts" TargetMode="External"/><Relationship Id="rId150" Type="http://schemas.openxmlformats.org/officeDocument/2006/relationships/hyperlink" Target="https://github.com/rhourani/thesis-owasp-juice-shop/tree/8f016f0f701d767d9a5fa3b225bb7f1759a06429/test/api/erasureRequestApiSpec.ts" TargetMode="External"/><Relationship Id="rId171" Type="http://schemas.openxmlformats.org/officeDocument/2006/relationships/hyperlink" Target="https://github.com/rhourani/thesis-owasp-juice-shop/tree/8f016f0f701d767d9a5fa3b225bb7f1759a06429/test/api/dataExportApiSpec.ts" TargetMode="External"/><Relationship Id="rId192" Type="http://schemas.openxmlformats.org/officeDocument/2006/relationships/hyperlink" Target="https://github.com/rhourani/thesis-owasp-juice-shop/tree/8f016f0f701d767d9a5fa3b225bb7f1759a06429/test/api/chatBotSpec.ts" TargetMode="External"/><Relationship Id="rId206" Type="http://schemas.openxmlformats.org/officeDocument/2006/relationships/hyperlink" Target="https://github.com/rhourani/thesis-owasp-juice-shop/tree/8f016f0f701d767d9a5fa3b225bb7f1759a06429/test/cypress/e2e/forgedJwt.spec.ts" TargetMode="External"/><Relationship Id="rId227" Type="http://schemas.openxmlformats.org/officeDocument/2006/relationships/hyperlink" Target="https://github.com/rhourani/thesis-owasp-juice-shop/tree/8f016f0f701d767d9a5fa3b225bb7f1759a06429/test/api/2faSpec.ts" TargetMode="External"/><Relationship Id="rId248" Type="http://schemas.openxmlformats.org/officeDocument/2006/relationships/hyperlink" Target="https://github.com/rhourani/thesis-owasp-juice-shop/tree/8f016f0f701d767d9a5fa3b225bb7f1759a06429/test/cypress/e2e/changePassword.spec.ts" TargetMode="External"/><Relationship Id="rId269" Type="http://schemas.openxmlformats.org/officeDocument/2006/relationships/hyperlink" Target="https://github.com/rhourani/thesis-owasp-juice-shop/tree/8f016f0f701d767d9a5fa3b225bb7f1759a06429/Gruntfile.js" TargetMode="External"/><Relationship Id="rId12" Type="http://schemas.openxmlformats.org/officeDocument/2006/relationships/hyperlink" Target="https://github.com/rhourani/thesis-owasp-juice-shop/blob/8f016f0f701d767d9a5fa3b225bb7f1759a06429/routes/login.ts" TargetMode="External"/><Relationship Id="rId33" Type="http://schemas.openxmlformats.org/officeDocument/2006/relationships/hyperlink" Target="https://github.com/rhourani/thesis-owasp-juice-shop/blob/8f016f0f701d767d9a5fa3b225bb7f1759a06429/frontend/src/app/data-export/data-export.component.ts" TargetMode="External"/><Relationship Id="rId108" Type="http://schemas.openxmlformats.org/officeDocument/2006/relationships/hyperlink" Target="https://github.com/rhourani/thesis-owasp-juice-shop/tree/8f016f0f701d767d9a5fa3b225bb7f1759a06429/test/api/quantityApiSpec.ts" TargetMode="External"/><Relationship Id="rId129" Type="http://schemas.openxmlformats.org/officeDocument/2006/relationships/hyperlink" Target="https://github.com/rhourani/thesis-owasp-juice-shop/tree/8f016f0f701d767d9a5fa3b225bb7f1759a06429/test/api/memoryApiSpec.ts" TargetMode="External"/><Relationship Id="rId54" Type="http://schemas.openxmlformats.org/officeDocument/2006/relationships/hyperlink" Target="https://github.com/rhourani/thesis-owasp-juice-shop/tree/8f016f0f701d767d9a5fa3b225bb7f1759a06429/test/api/addressApiSpec.ts" TargetMode="External"/><Relationship Id="rId75" Type="http://schemas.openxmlformats.org/officeDocument/2006/relationships/hyperlink" Target="https://github.com/rhourani/thesis-owasp-juice-shop/tree/8f016f0f701d767d9a5fa3b225bb7f1759a06429/test/cypress/e2e/changePassword.spec.ts" TargetMode="External"/><Relationship Id="rId96" Type="http://schemas.openxmlformats.org/officeDocument/2006/relationships/hyperlink" Target="https://github.com/rhourani/thesis-owasp-juice-shop/tree/8f016f0f701d767d9a5fa3b225bb7f1759a06429/test/api/profileImageUploadSpec.ts" TargetMode="External"/><Relationship Id="rId140" Type="http://schemas.openxmlformats.org/officeDocument/2006/relationships/hyperlink" Target="https://github.com/rhourani/thesis-owasp-juice-shop/tree/8f016f0f701d767d9a5fa3b225bb7f1759a06429/test/api/loginApiSpec.ts" TargetMode="External"/><Relationship Id="rId161" Type="http://schemas.openxmlformats.org/officeDocument/2006/relationships/hyperlink" Target="https://github.com/rhourani/thesis-owasp-juice-shop/tree/8f016f0f701d767d9a5fa3b225bb7f1759a06429/test/api/deliveryApiSpec.ts" TargetMode="External"/><Relationship Id="rId182" Type="http://schemas.openxmlformats.org/officeDocument/2006/relationships/hyperlink" Target="https://github.com/rhourani/thesis-owasp-juice-shop/tree/8f016f0f701d767d9a5fa3b225bb7f1759a06429/test/api/2faSpec.ts" TargetMode="External"/><Relationship Id="rId217" Type="http://schemas.openxmlformats.org/officeDocument/2006/relationships/hyperlink" Target="https://github.com/rhourani/thesis-owasp-juice-shop/tree/8f016f0f701d767d9a5fa3b225bb7f1759a06429/test/api/2faSpec.ts" TargetMode="External"/><Relationship Id="rId6" Type="http://schemas.openxmlformats.org/officeDocument/2006/relationships/hyperlink" Target="https://github.com/rhourani/thesis-owasp-juice-shop/blob/8f016f0f701d767d9a5fa3b225bb7f1759a06429/routes/profileImageUrlUpload.ts" TargetMode="External"/><Relationship Id="rId238" Type="http://schemas.openxmlformats.org/officeDocument/2006/relationships/hyperlink" Target="https://github.com/rhourani/thesis-owasp-juice-shop/tree/8f016f0f701d767d9a5fa3b225bb7f1759a06429/test/cypress/e2e/noSql.spec.ts" TargetMode="External"/><Relationship Id="rId259" Type="http://schemas.openxmlformats.org/officeDocument/2006/relationships/hyperlink" Target="https://github.com/rhourani/thesis-owasp-juice-shop/tree/8f016f0f701d767d9a5fa3b225bb7f1759a06429/server.ts" TargetMode="External"/><Relationship Id="rId23" Type="http://schemas.openxmlformats.org/officeDocument/2006/relationships/hyperlink" Target="https://github.com/rhourani/thesis-owasp-juice-shop/blob/8f016f0f701d767d9a5fa3b225bb7f1759a06429/routes/recycles.ts" TargetMode="External"/><Relationship Id="rId119" Type="http://schemas.openxmlformats.org/officeDocument/2006/relationships/hyperlink" Target="https://github.com/rhourani/thesis-owasp-juice-shop/tree/8f016f0f701d767d9a5fa3b225bb7f1759a06429/test/api/orderHistoryApiSpec.ts" TargetMode="External"/><Relationship Id="rId270" Type="http://schemas.openxmlformats.org/officeDocument/2006/relationships/hyperlink" Target="https://github.com/rhourani/thesis-owasp-juice-shop/tree/8f016f0f701d767d9a5fa3b225bb7f1759a06429/lib/insecurity.ts" TargetMode="External"/><Relationship Id="rId44" Type="http://schemas.openxmlformats.org/officeDocument/2006/relationships/hyperlink" Target="https://github.com/rhourani/thesis-owasp-juice-shop/blob/8f016f0f701d767d9a5fa3b225bb7f1759a06429/routes/languages.ts" TargetMode="External"/><Relationship Id="rId65" Type="http://schemas.openxmlformats.org/officeDocument/2006/relationships/hyperlink" Target="https://github.com/rhourani/thesis-owasp-juice-shop/tree/8f016f0f701d767d9a5fa3b225bb7f1759a06429/test/cypress/e2e/dataErasure.spec.ts" TargetMode="External"/><Relationship Id="rId86" Type="http://schemas.openxmlformats.org/officeDocument/2006/relationships/hyperlink" Target="https://github.com/rhourani/thesis-owasp-juice-shop/tree/8f016f0f701d767d9a5fa3b225bb7f1759a06429/test/cypress/e2e/b2bOrder.spec.ts" TargetMode="External"/><Relationship Id="rId130" Type="http://schemas.openxmlformats.org/officeDocument/2006/relationships/hyperlink" Target="https://github.com/rhourani/thesis-owasp-juice-shop/tree/8f016f0f701d767d9a5fa3b225bb7f1759a06429/test/api/memoryApiSpec.ts" TargetMode="External"/><Relationship Id="rId151" Type="http://schemas.openxmlformats.org/officeDocument/2006/relationships/hyperlink" Target="https://github.com/rhourani/thesis-owasp-juice-shop/tree/8f016f0f701d767d9a5fa3b225bb7f1759a06429/test/api/deluxeApiSpec.ts" TargetMode="External"/><Relationship Id="rId172" Type="http://schemas.openxmlformats.org/officeDocument/2006/relationships/hyperlink" Target="https://github.com/rhourani/thesis-owasp-juice-shop/tree/8f016f0f701d767d9a5fa3b225bb7f1759a06429/test/api/dataExportApiSpec.ts" TargetMode="External"/><Relationship Id="rId193" Type="http://schemas.openxmlformats.org/officeDocument/2006/relationships/hyperlink" Target="https://github.com/rhourani/thesis-owasp-juice-shop/tree/8f016f0f701d767d9a5fa3b225bb7f1759a06429/test/api/chatBotSpec.ts" TargetMode="External"/><Relationship Id="rId207" Type="http://schemas.openxmlformats.org/officeDocument/2006/relationships/hyperlink" Target="https://github.com/rhourani/thesis-owasp-juice-shop/tree/8f016f0f701d767d9a5fa3b225bb7f1759a06429/test/api/userApiSpec.ts" TargetMode="External"/><Relationship Id="rId228" Type="http://schemas.openxmlformats.org/officeDocument/2006/relationships/hyperlink" Target="https://github.com/rhourani/thesis-owasp-juice-shop/tree/8f016f0f701d767d9a5fa3b225bb7f1759a06429/test/api/2faSpec.ts" TargetMode="External"/><Relationship Id="rId249" Type="http://schemas.openxmlformats.org/officeDocument/2006/relationships/hyperlink" Target="https://github.com/rhourani/thesis-owasp-juice-shop/tree/8f016f0f701d767d9a5fa3b225bb7f1759a06429/test/cypress/e2e/changePassword.spec.ts" TargetMode="External"/><Relationship Id="rId13" Type="http://schemas.openxmlformats.org/officeDocument/2006/relationships/hyperlink" Target="https://github.com/rhourani/thesis-owasp-juice-shop/blob/8f016f0f701d767d9a5fa3b225bb7f1759a06429/routes/search.ts" TargetMode="External"/><Relationship Id="rId109" Type="http://schemas.openxmlformats.org/officeDocument/2006/relationships/hyperlink" Target="https://github.com/rhourani/thesis-owasp-juice-shop/tree/8f016f0f701d767d9a5fa3b225bb7f1759a06429/test/api/quantityApiSpec.ts" TargetMode="External"/><Relationship Id="rId260" Type="http://schemas.openxmlformats.org/officeDocument/2006/relationships/hyperlink" Target="https://github.com/rhourani/thesis-owasp-juice-shop/tree/8f016f0f701d767d9a5fa3b225bb7f1759a06429/server.ts" TargetMode="External"/><Relationship Id="rId34" Type="http://schemas.openxmlformats.org/officeDocument/2006/relationships/hyperlink" Target="https://github.com/rhourani/thesis-owasp-juice-shop/blob/8f016f0f701d767d9a5fa3b225bb7f1759a06429/frontend/src/app/administration/administration.component.ts" TargetMode="External"/><Relationship Id="rId55" Type="http://schemas.openxmlformats.org/officeDocument/2006/relationships/hyperlink" Target="https://github.com/rhourani/thesis-owasp-juice-shop/tree/8f016f0f701d767d9a5fa3b225bb7f1759a06429/test/cypress/e2e/restApi.spec.ts" TargetMode="External"/><Relationship Id="rId76" Type="http://schemas.openxmlformats.org/officeDocument/2006/relationships/hyperlink" Target="https://github.com/rhourani/thesis-owasp-juice-shop/tree/8f016f0f701d767d9a5fa3b225bb7f1759a06429/test/cypress/e2e/changePassword.spec.ts" TargetMode="External"/><Relationship Id="rId97" Type="http://schemas.openxmlformats.org/officeDocument/2006/relationships/hyperlink" Target="https://github.com/rhourani/thesis-owasp-juice-shop/tree/8f016f0f701d767d9a5fa3b225bb7f1759a06429/test/api/profileImageUploadSpec.ts" TargetMode="External"/><Relationship Id="rId120" Type="http://schemas.openxmlformats.org/officeDocument/2006/relationships/hyperlink" Target="https://github.com/rhourani/thesis-owasp-juice-shop/tree/8f016f0f701d767d9a5fa3b225bb7f1759a06429/test/api/orderHistoryApiSpec.ts" TargetMode="External"/><Relationship Id="rId141" Type="http://schemas.openxmlformats.org/officeDocument/2006/relationships/hyperlink" Target="https://github.com/rhourani/thesis-owasp-juice-shop/tree/8f016f0f701d767d9a5fa3b225bb7f1759a06429/test/api/loginApiSpec.ts" TargetMode="External"/><Relationship Id="rId7" Type="http://schemas.openxmlformats.org/officeDocument/2006/relationships/hyperlink" Target="https://github.com/rhourani/thesis-owasp-juice-shop/blob/8f016f0f701d767d9a5fa3b225bb7f1759a06429/lib/insecurity.ts" TargetMode="External"/><Relationship Id="rId162" Type="http://schemas.openxmlformats.org/officeDocument/2006/relationships/hyperlink" Target="https://github.com/rhourani/thesis-owasp-juice-shop/tree/8f016f0f701d767d9a5fa3b225bb7f1759a06429/test/api/deliveryApiSpec.ts" TargetMode="External"/><Relationship Id="rId183" Type="http://schemas.openxmlformats.org/officeDocument/2006/relationships/hyperlink" Target="https://github.com/rhourani/thesis-owasp-juice-shop/tree/8f016f0f701d767d9a5fa3b225bb7f1759a06429/test/api/2faSpec.ts" TargetMode="External"/><Relationship Id="rId218" Type="http://schemas.openxmlformats.org/officeDocument/2006/relationships/hyperlink" Target="https://github.com/rhourani/thesis-owasp-juice-shop/tree/8f016f0f701d767d9a5fa3b225bb7f1759a06429/test/api/2faSpec.ts" TargetMode="External"/><Relationship Id="rId239" Type="http://schemas.openxmlformats.org/officeDocument/2006/relationships/hyperlink" Target="https://github.com/rhourani/thesis-owasp-juice-shop/tree/8f016f0f701d767d9a5fa3b225bb7f1759a06429/test/cypress/e2e/noSql.spec.ts" TargetMode="External"/><Relationship Id="rId250" Type="http://schemas.openxmlformats.org/officeDocument/2006/relationships/hyperlink" Target="https://github.com/rhourani/thesis-owasp-juice-shop/tree/8f016f0f701d767d9a5fa3b225bb7f1759a06429/test/cypress/e2e/changePassword.spec.ts" TargetMode="External"/><Relationship Id="rId24" Type="http://schemas.openxmlformats.org/officeDocument/2006/relationships/hyperlink" Target="https://github.com/rhourani/thesis-owasp-juice-shop/blob/8f016f0f701d767d9a5fa3b225bb7f1759a06429/frontend/src/app/search-result/search-result.component.ts" TargetMode="External"/><Relationship Id="rId45" Type="http://schemas.openxmlformats.org/officeDocument/2006/relationships/hyperlink" Target="https://github.com/rhourani/thesis-owasp-juice-shop/blob/8f016f0f701d767d9a5fa3b225bb7f1759a06429/routes/easterEgg.ts" TargetMode="External"/><Relationship Id="rId66" Type="http://schemas.openxmlformats.org/officeDocument/2006/relationships/hyperlink" Target="https://github.com/rhourani/thesis-owasp-juice-shop/tree/8f016f0f701d767d9a5fa3b225bb7f1759a06429/test/cypress/e2e/contact.spec.ts" TargetMode="External"/><Relationship Id="rId87" Type="http://schemas.openxmlformats.org/officeDocument/2006/relationships/hyperlink" Target="https://github.com/rhourani/thesis-owasp-juice-shop/tree/8f016f0f701d767d9a5fa3b225bb7f1759a06429/test/cypress/e2e/administration.spec.ts" TargetMode="External"/><Relationship Id="rId110" Type="http://schemas.openxmlformats.org/officeDocument/2006/relationships/hyperlink" Target="https://github.com/rhourani/thesis-owasp-juice-shop/tree/8f016f0f701d767d9a5fa3b225bb7f1759a06429/test/api/quantityApiSpec.ts" TargetMode="External"/><Relationship Id="rId131" Type="http://schemas.openxmlformats.org/officeDocument/2006/relationships/hyperlink" Target="https://github.com/rhourani/thesis-owasp-juice-shop/tree/8f016f0f701d767d9a5fa3b225bb7f1759a06429/test/api/loginApiSpec.ts" TargetMode="External"/><Relationship Id="rId152" Type="http://schemas.openxmlformats.org/officeDocument/2006/relationships/hyperlink" Target="https://github.com/rhourani/thesis-owasp-juice-shop/tree/8f016f0f701d767d9a5fa3b225bb7f1759a06429/test/api/deluxeApiSpec.ts" TargetMode="External"/><Relationship Id="rId173" Type="http://schemas.openxmlformats.org/officeDocument/2006/relationships/hyperlink" Target="https://github.com/rhourani/thesis-owasp-juice-shop/tree/8f016f0f701d767d9a5fa3b225bb7f1759a06429/test/api/dataExportApiSpec.ts" TargetMode="External"/><Relationship Id="rId194" Type="http://schemas.openxmlformats.org/officeDocument/2006/relationships/hyperlink" Target="https://github.com/rhourani/thesis-owasp-juice-shop/tree/8f016f0f701d767d9a5fa3b225bb7f1759a06429/test/api/chatBotSpec.ts" TargetMode="External"/><Relationship Id="rId208" Type="http://schemas.openxmlformats.org/officeDocument/2006/relationships/hyperlink" Target="https://github.com/rhourani/thesis-owasp-juice-shop/tree/8f016f0f701d767d9a5fa3b225bb7f1759a06429/test/api/web3Spec.ts" TargetMode="External"/><Relationship Id="rId229" Type="http://schemas.openxmlformats.org/officeDocument/2006/relationships/hyperlink" Target="https://github.com/rhourani/thesis-owasp-juice-shop/tree/8f016f0f701d767d9a5fa3b225bb7f1759a06429/test/api/2faSpec.ts" TargetMode="External"/><Relationship Id="rId240" Type="http://schemas.openxmlformats.org/officeDocument/2006/relationships/hyperlink" Target="https://github.com/rhourani/thesis-owasp-juice-shop/tree/8f016f0f701d767d9a5fa3b225bb7f1759a06429/test/cypress/e2e/noSql.spec.ts" TargetMode="External"/><Relationship Id="rId261" Type="http://schemas.openxmlformats.org/officeDocument/2006/relationships/hyperlink" Target="https://github.com/rhourani/thesis-owasp-juice-shop/tree/8f016f0f701d767d9a5fa3b225bb7f1759a06429/server.ts" TargetMode="External"/><Relationship Id="rId14" Type="http://schemas.openxmlformats.org/officeDocument/2006/relationships/hyperlink" Target="https://github.com/rhourani/thesis-owasp-juice-shop/blob/8f016f0f701d767d9a5fa3b225bb7f1759a06429/data/static/codefixes/unionSqlInjectionChallenge_3.ts" TargetMode="External"/><Relationship Id="rId35" Type="http://schemas.openxmlformats.org/officeDocument/2006/relationships/hyperlink" Target="https://github.com/rhourani/thesis-owasp-juice-shop/blob/8f016f0f701d767d9a5fa3b225bb7f1759a06429/frontend/src/app/administration/administration.component.ts" TargetMode="External"/><Relationship Id="rId56" Type="http://schemas.openxmlformats.org/officeDocument/2006/relationships/hyperlink" Target="https://github.com/rhourani/thesis-owasp-juice-shop/tree/8f016f0f701d767d9a5fa3b225bb7f1759a06429/test/cypress/e2e/restApi.spec.ts" TargetMode="External"/><Relationship Id="rId77" Type="http://schemas.openxmlformats.org/officeDocument/2006/relationships/hyperlink" Target="https://github.com/rhourani/thesis-owasp-juice-shop/tree/8f016f0f701d767d9a5fa3b225bb7f1759a06429/test/cypress/e2e/basket.spec.ts" TargetMode="External"/><Relationship Id="rId100" Type="http://schemas.openxmlformats.org/officeDocument/2006/relationships/hyperlink" Target="https://github.com/rhourani/thesis-owasp-juice-shop/tree/8f016f0f701d767d9a5fa3b225bb7f1759a06429/test/api/quantityApiSpec.ts" TargetMode="External"/><Relationship Id="rId8" Type="http://schemas.openxmlformats.org/officeDocument/2006/relationships/hyperlink" Target="https://github.com/rhourani/thesis-owasp-juice-shop/blob/8f016f0f701d767d9a5fa3b225bb7f1759a06429/lib/insecurity.ts" TargetMode="External"/><Relationship Id="rId98" Type="http://schemas.openxmlformats.org/officeDocument/2006/relationships/hyperlink" Target="https://github.com/rhourani/thesis-owasp-juice-shop/tree/8f016f0f701d767d9a5fa3b225bb7f1759a06429/test/api/profileImageUploadSpec.ts" TargetMode="External"/><Relationship Id="rId121" Type="http://schemas.openxmlformats.org/officeDocument/2006/relationships/hyperlink" Target="https://github.com/rhourani/thesis-owasp-juice-shop/tree/8f016f0f701d767d9a5fa3b225bb7f1759a06429/test/api/orderHistoryApiSpec.ts" TargetMode="External"/><Relationship Id="rId142" Type="http://schemas.openxmlformats.org/officeDocument/2006/relationships/hyperlink" Target="https://github.com/rhourani/thesis-owasp-juice-shop/tree/8f016f0f701d767d9a5fa3b225bb7f1759a06429/test/api/feedbackApiSpec.ts" TargetMode="External"/><Relationship Id="rId163" Type="http://schemas.openxmlformats.org/officeDocument/2006/relationships/hyperlink" Target="https://github.com/rhourani/thesis-owasp-juice-shop/tree/8f016f0f701d767d9a5fa3b225bb7f1759a06429/test/api/deliveryApiSpec.ts" TargetMode="External"/><Relationship Id="rId184" Type="http://schemas.openxmlformats.org/officeDocument/2006/relationships/hyperlink" Target="https://github.com/rhourani/thesis-owasp-juice-shop/tree/8f016f0f701d767d9a5fa3b225bb7f1759a06429/test/api/2faSpec.ts" TargetMode="External"/><Relationship Id="rId219" Type="http://schemas.openxmlformats.org/officeDocument/2006/relationships/hyperlink" Target="https://github.com/rhourani/thesis-owasp-juice-shop/tree/8f016f0f701d767d9a5fa3b225bb7f1759a06429/test/api/2faSpec.ts" TargetMode="External"/><Relationship Id="rId230" Type="http://schemas.openxmlformats.org/officeDocument/2006/relationships/hyperlink" Target="https://github.com/rhourani/thesis-owasp-juice-shop/tree/8f016f0f701d767d9a5fa3b225bb7f1759a06429/test/api/2faSpec.ts" TargetMode="External"/><Relationship Id="rId251" Type="http://schemas.openxmlformats.org/officeDocument/2006/relationships/hyperlink" Target="https://github.com/rhourani/thesis-owasp-juice-shop/tree/8f016f0f701d767d9a5fa3b225bb7f1759a06429/test/cypress/e2e/basket.spec.ts" TargetMode="External"/><Relationship Id="rId25" Type="http://schemas.openxmlformats.org/officeDocument/2006/relationships/hyperlink" Target="https://github.com/rhourani/thesis-owasp-juice-shop/blob/8f016f0f701d767d9a5fa3b225bb7f1759a06429/frontend/src/app/oauth/oauth.component.spec.ts" TargetMode="External"/><Relationship Id="rId46" Type="http://schemas.openxmlformats.org/officeDocument/2006/relationships/hyperlink" Target="https://github.com/rhourani/thesis-owasp-juice-shop/blob/8f016f0f701d767d9a5fa3b225bb7f1759a06429/frontend/src/app/last-login-ip/last-login-ip.component.ts" TargetMode="External"/><Relationship Id="rId67" Type="http://schemas.openxmlformats.org/officeDocument/2006/relationships/hyperlink" Target="https://github.com/rhourani/thesis-owasp-juice-shop/tree/8f016f0f701d767d9a5fa3b225bb7f1759a06429/test/cypress/e2e/contact.spec.ts" TargetMode="External"/><Relationship Id="rId88" Type="http://schemas.openxmlformats.org/officeDocument/2006/relationships/hyperlink" Target="https://github.com/rhourani/thesis-owasp-juice-shop/tree/8f016f0f701d767d9a5fa3b225bb7f1759a06429/test/api/userApiSpec.ts" TargetMode="External"/><Relationship Id="rId111" Type="http://schemas.openxmlformats.org/officeDocument/2006/relationships/hyperlink" Target="https://github.com/rhourani/thesis-owasp-juice-shop/tree/8f016f0f701d767d9a5fa3b225bb7f1759a06429/test/api/quantityApiSpec.ts" TargetMode="External"/><Relationship Id="rId132" Type="http://schemas.openxmlformats.org/officeDocument/2006/relationships/hyperlink" Target="https://github.com/rhourani/thesis-owasp-juice-shop/tree/8f016f0f701d767d9a5fa3b225bb7f1759a06429/test/api/loginApiSpec.ts" TargetMode="External"/><Relationship Id="rId153" Type="http://schemas.openxmlformats.org/officeDocument/2006/relationships/hyperlink" Target="https://github.com/rhourani/thesis-owasp-juice-shop/tree/8f016f0f701d767d9a5fa3b225bb7f1759a06429/test/api/deluxeApiSpec.ts" TargetMode="External"/><Relationship Id="rId174" Type="http://schemas.openxmlformats.org/officeDocument/2006/relationships/hyperlink" Target="https://github.com/rhourani/thesis-owasp-juice-shop/tree/8f016f0f701d767d9a5fa3b225bb7f1759a06429/test/api/basketApiSpec.ts" TargetMode="External"/><Relationship Id="rId195" Type="http://schemas.openxmlformats.org/officeDocument/2006/relationships/hyperlink" Target="https://github.com/rhourani/thesis-owasp-juice-shop/tree/8f016f0f701d767d9a5fa3b225bb7f1759a06429/test/api/chatBotSpec.ts" TargetMode="External"/><Relationship Id="rId209" Type="http://schemas.openxmlformats.org/officeDocument/2006/relationships/hyperlink" Target="https://github.com/rhourani/thesis-owasp-juice-shop/tree/8f016f0f701d767d9a5fa3b225bb7f1759a06429/test/api/web3Spec.ts" TargetMode="External"/><Relationship Id="rId220" Type="http://schemas.openxmlformats.org/officeDocument/2006/relationships/hyperlink" Target="https://github.com/rhourani/thesis-owasp-juice-shop/tree/8f016f0f701d767d9a5fa3b225bb7f1759a06429/test/api/2faSpec.ts" TargetMode="External"/><Relationship Id="rId241" Type="http://schemas.openxmlformats.org/officeDocument/2006/relationships/hyperlink" Target="https://github.com/rhourani/thesis-owasp-juice-shop/tree/8f016f0f701d767d9a5fa3b225bb7f1759a06429/test/cypress/e2e/noSql.spec.ts" TargetMode="External"/><Relationship Id="rId15" Type="http://schemas.openxmlformats.org/officeDocument/2006/relationships/hyperlink" Target="https://github.com/rhourani/thesis-owasp-juice-shop/blob/8f016f0f701d767d9a5fa3b225bb7f1759a06429/data/static/codefixes/unionSqlInjectionChallenge_1.ts" TargetMode="External"/><Relationship Id="rId36" Type="http://schemas.openxmlformats.org/officeDocument/2006/relationships/hyperlink" Target="https://github.com/rhourani/thesis-owasp-juice-shop/blob/8f016f0f701d767d9a5fa3b225bb7f1759a06429/server.ts" TargetMode="External"/><Relationship Id="rId57" Type="http://schemas.openxmlformats.org/officeDocument/2006/relationships/hyperlink" Target="https://github.com/rhourani/thesis-owasp-juice-shop/tree/8f016f0f701d767d9a5fa3b225bb7f1759a06429/test/cypress/e2e/dataExport.spec.ts" TargetMode="External"/><Relationship Id="rId262" Type="http://schemas.openxmlformats.org/officeDocument/2006/relationships/hyperlink" Target="https://github.com/rhourani/thesis-owasp-juice-shop/tree/8f016f0f701d767d9a5fa3b225bb7f1759a06429/server.ts" TargetMode="External"/><Relationship Id="rId78" Type="http://schemas.openxmlformats.org/officeDocument/2006/relationships/hyperlink" Target="https://github.com/rhourani/thesis-owasp-juice-shop/tree/8f016f0f701d767d9a5fa3b225bb7f1759a06429/test/cypress/e2e/basket.spec.ts" TargetMode="External"/><Relationship Id="rId99" Type="http://schemas.openxmlformats.org/officeDocument/2006/relationships/hyperlink" Target="https://github.com/rhourani/thesis-owasp-juice-shop/tree/8f016f0f701d767d9a5fa3b225bb7f1759a06429/test/api/profileImageUploadSpec.ts" TargetMode="External"/><Relationship Id="rId101" Type="http://schemas.openxmlformats.org/officeDocument/2006/relationships/hyperlink" Target="https://github.com/rhourani/thesis-owasp-juice-shop/tree/8f016f0f701d767d9a5fa3b225bb7f1759a06429/test/api/quantityApiSpec.ts" TargetMode="External"/><Relationship Id="rId122" Type="http://schemas.openxmlformats.org/officeDocument/2006/relationships/hyperlink" Target="https://github.com/rhourani/thesis-owasp-juice-shop/tree/8f016f0f701d767d9a5fa3b225bb7f1759a06429/test/api/orderHistoryApiSpec.ts" TargetMode="External"/><Relationship Id="rId143" Type="http://schemas.openxmlformats.org/officeDocument/2006/relationships/hyperlink" Target="https://github.com/rhourani/thesis-owasp-juice-shop/tree/8f016f0f701d767d9a5fa3b225bb7f1759a06429/test/api/feedbackApiSpec.ts" TargetMode="External"/><Relationship Id="rId164" Type="http://schemas.openxmlformats.org/officeDocument/2006/relationships/hyperlink" Target="https://github.com/rhourani/thesis-owasp-juice-shop/tree/8f016f0f701d767d9a5fa3b225bb7f1759a06429/test/api/deliveryApiSpec.ts" TargetMode="External"/><Relationship Id="rId185" Type="http://schemas.openxmlformats.org/officeDocument/2006/relationships/hyperlink" Target="https://github.com/rhourani/thesis-owasp-juice-shop/tree/8f016f0f701d767d9a5fa3b225bb7f1759a06429/test/api/2faSpec.ts" TargetMode="External"/><Relationship Id="rId9" Type="http://schemas.openxmlformats.org/officeDocument/2006/relationships/hyperlink" Target="https://github.com/rhourani/thesis-owasp-juice-shop/blob/8f016f0f701d767d9a5fa3b225bb7f1759a06429/routes/profileImageUrlUpload.ts" TargetMode="External"/><Relationship Id="rId210" Type="http://schemas.openxmlformats.org/officeDocument/2006/relationships/hyperlink" Target="https://github.com/rhourani/thesis-owasp-juice-shop/tree/8f016f0f701d767d9a5fa3b225bb7f1759a06429/test/api/web3Spec.ts" TargetMode="External"/><Relationship Id="rId26" Type="http://schemas.openxmlformats.org/officeDocument/2006/relationships/hyperlink" Target="https://github.com/rhourani/thesis-owasp-juice-shop/blob/8f016f0f701d767d9a5fa3b225bb7f1759a06429/frontend/src/app/oauth/oauth.component.spec.ts" TargetMode="External"/><Relationship Id="rId231" Type="http://schemas.openxmlformats.org/officeDocument/2006/relationships/hyperlink" Target="https://github.com/rhourani/thesis-owasp-juice-shop/tree/8f016f0f701d767d9a5fa3b225bb7f1759a06429/test/cypress/e2e/totpSetup.spec.ts" TargetMode="External"/><Relationship Id="rId252" Type="http://schemas.openxmlformats.org/officeDocument/2006/relationships/hyperlink" Target="https://github.com/rhourani/thesis-owasp-juice-shop/tree/8f016f0f701d767d9a5fa3b225bb7f1759a06429/test/cypress/e2e/b2bOrder.spec.ts" TargetMode="External"/><Relationship Id="rId47" Type="http://schemas.openxmlformats.org/officeDocument/2006/relationships/hyperlink" Target="https://github.com/rhourani/thesis-owasp-juice-shop/blob/8f016f0f701d767d9a5fa3b225bb7f1759a06429/frontend/src/app/track-result/track-result.component.ts" TargetMode="External"/><Relationship Id="rId68" Type="http://schemas.openxmlformats.org/officeDocument/2006/relationships/hyperlink" Target="https://github.com/rhourani/thesis-owasp-juice-shop/tree/8f016f0f701d767d9a5fa3b225bb7f1759a06429/test/cypress/e2e/complain.spec.ts" TargetMode="External"/><Relationship Id="rId89" Type="http://schemas.openxmlformats.org/officeDocument/2006/relationships/hyperlink" Target="https://github.com/rhourani/thesis-owasp-juice-shop/tree/8f016f0f701d767d9a5fa3b225bb7f1759a06429/test/api/userApiSpec.ts" TargetMode="External"/><Relationship Id="rId112" Type="http://schemas.openxmlformats.org/officeDocument/2006/relationships/hyperlink" Target="https://github.com/rhourani/thesis-owasp-juice-shop/tree/8f016f0f701d767d9a5fa3b225bb7f1759a06429/test/api/quantityApiSpec.ts" TargetMode="External"/><Relationship Id="rId133" Type="http://schemas.openxmlformats.org/officeDocument/2006/relationships/hyperlink" Target="https://github.com/rhourani/thesis-owasp-juice-shop/tree/8f016f0f701d767d9a5fa3b225bb7f1759a06429/test/api/loginApiSpec.ts" TargetMode="External"/><Relationship Id="rId154" Type="http://schemas.openxmlformats.org/officeDocument/2006/relationships/hyperlink" Target="https://github.com/rhourani/thesis-owasp-juice-shop/tree/8f016f0f701d767d9a5fa3b225bb7f1759a06429/test/api/deluxeApiSpec.ts" TargetMode="External"/><Relationship Id="rId175" Type="http://schemas.openxmlformats.org/officeDocument/2006/relationships/hyperlink" Target="https://github.com/rhourani/thesis-owasp-juice-shop/tree/8f016f0f701d767d9a5fa3b225bb7f1759a06429/test/api/basketApiSpec.ts" TargetMode="External"/><Relationship Id="rId196" Type="http://schemas.openxmlformats.org/officeDocument/2006/relationships/hyperlink" Target="https://github.com/rhourani/thesis-owasp-juice-shop/tree/8f016f0f701d767d9a5fa3b225bb7f1759a06429/test/api/chatBotSpec.ts" TargetMode="External"/><Relationship Id="rId200" Type="http://schemas.openxmlformats.org/officeDocument/2006/relationships/hyperlink" Target="https://github.com/rhourani/thesis-owasp-juice-shop/tree/8f016f0f701d767d9a5fa3b225bb7f1759a06429/test/server/verifySpec.ts" TargetMode="External"/><Relationship Id="rId16" Type="http://schemas.openxmlformats.org/officeDocument/2006/relationships/hyperlink" Target="https://github.com/rhourani/thesis-owasp-juice-shop/blob/8f016f0f701d767d9a5fa3b225bb7f1759a06429/data/static/codefixes/dbSchemaChallenge_1.ts" TargetMode="External"/><Relationship Id="rId221" Type="http://schemas.openxmlformats.org/officeDocument/2006/relationships/hyperlink" Target="https://github.com/rhourani/thesis-owasp-juice-shop/tree/8f016f0f701d767d9a5fa3b225bb7f1759a06429/test/api/2faSpec.ts" TargetMode="External"/><Relationship Id="rId242" Type="http://schemas.openxmlformats.org/officeDocument/2006/relationships/hyperlink" Target="https://github.com/rhourani/thesis-owasp-juice-shop/tree/8f016f0f701d767d9a5fa3b225bb7f1759a06429/test/cypress/e2e/dataExport.spec.ts" TargetMode="External"/><Relationship Id="rId263" Type="http://schemas.openxmlformats.org/officeDocument/2006/relationships/hyperlink" Target="https://github.com/rhourani/thesis-owasp-juice-shop/tree/8f016f0f701d767d9a5fa3b225bb7f1759a06429/routes/profileImageUrlUpload.ts" TargetMode="External"/><Relationship Id="rId37" Type="http://schemas.openxmlformats.org/officeDocument/2006/relationships/hyperlink" Target="https://github.com/rhourani/thesis-owasp-juice-shop/blob/8f016f0f701d767d9a5fa3b225bb7f1759a06429/lib/accuracy.ts" TargetMode="External"/><Relationship Id="rId58" Type="http://schemas.openxmlformats.org/officeDocument/2006/relationships/hyperlink" Target="https://github.com/rhourani/thesis-owasp-juice-shop/tree/8f016f0f701d767d9a5fa3b225bb7f1759a06429/test/cypress/e2e/totpSetup.spec.ts" TargetMode="External"/><Relationship Id="rId79" Type="http://schemas.openxmlformats.org/officeDocument/2006/relationships/hyperlink" Target="https://github.com/rhourani/thesis-owasp-juice-shop/tree/8f016f0f701d767d9a5fa3b225bb7f1759a06429/test/cypress/e2e/register.spec.ts" TargetMode="External"/><Relationship Id="rId102" Type="http://schemas.openxmlformats.org/officeDocument/2006/relationships/hyperlink" Target="https://github.com/rhourani/thesis-owasp-juice-shop/tree/8f016f0f701d767d9a5fa3b225bb7f1759a06429/test/api/quantityApiSpec.ts" TargetMode="External"/><Relationship Id="rId123" Type="http://schemas.openxmlformats.org/officeDocument/2006/relationships/hyperlink" Target="https://github.com/rhourani/thesis-owasp-juice-shop/tree/8f016f0f701d767d9a5fa3b225bb7f1759a06429/test/api/orderHistoryApiSpec.ts" TargetMode="External"/><Relationship Id="rId144" Type="http://schemas.openxmlformats.org/officeDocument/2006/relationships/hyperlink" Target="https://github.com/rhourani/thesis-owasp-juice-shop/tree/8f016f0f701d767d9a5fa3b225bb7f1759a06429/test/api/erasureRequestApiSpec.ts" TargetMode="External"/><Relationship Id="rId90" Type="http://schemas.openxmlformats.org/officeDocument/2006/relationships/hyperlink" Target="https://github.com/rhourani/thesis-owasp-juice-shop/tree/8f016f0f701d767d9a5fa3b225bb7f1759a06429/test/api/userApiSpec.ts" TargetMode="External"/><Relationship Id="rId165" Type="http://schemas.openxmlformats.org/officeDocument/2006/relationships/hyperlink" Target="https://github.com/rhourani/thesis-owasp-juice-shop/tree/8f016f0f701d767d9a5fa3b225bb7f1759a06429/test/api/dataExportApiSpec.ts" TargetMode="External"/><Relationship Id="rId186" Type="http://schemas.openxmlformats.org/officeDocument/2006/relationships/hyperlink" Target="https://github.com/rhourani/thesis-owasp-juice-shop/tree/8f016f0f701d767d9a5fa3b225bb7f1759a06429/test/api/2faSpec.ts" TargetMode="External"/><Relationship Id="rId211" Type="http://schemas.openxmlformats.org/officeDocument/2006/relationships/hyperlink" Target="https://github.com/rhourani/thesis-owasp-juice-shop/tree/8f016f0f701d767d9a5fa3b225bb7f1759a06429/test/api/web3Spec.ts" TargetMode="External"/><Relationship Id="rId232" Type="http://schemas.openxmlformats.org/officeDocument/2006/relationships/hyperlink" Target="https://github.com/rhourani/thesis-owasp-juice-shop/tree/8f016f0f701d767d9a5fa3b225bb7f1759a06429/test/cypress/e2e/search.spec.ts" TargetMode="External"/><Relationship Id="rId253" Type="http://schemas.openxmlformats.org/officeDocument/2006/relationships/hyperlink" Target="https://github.com/rhourani/thesis-owasp-juice-shop/tree/8f016f0f701d767d9a5fa3b225bb7f1759a06429/test/cypress/e2e/b2bOrder.spec.ts" TargetMode="External"/><Relationship Id="rId27" Type="http://schemas.openxmlformats.org/officeDocument/2006/relationships/hyperlink" Target="https://github.com/rhourani/thesis-owasp-juice-shop/blob/8f016f0f701d767d9a5fa3b225bb7f1759a06429/frontend/src/app/oauth/oauth.component.spec.ts" TargetMode="External"/><Relationship Id="rId48" Type="http://schemas.openxmlformats.org/officeDocument/2006/relationships/hyperlink" Target="https://github.com/rhourani/thesis-owasp-juice-shop/blob/8f016f0f701d767d9a5fa3b225bb7f1759a06429/frontend/src/app/about/about.component.ts" TargetMode="External"/><Relationship Id="rId69" Type="http://schemas.openxmlformats.org/officeDocument/2006/relationships/hyperlink" Target="https://github.com/rhourani/thesis-owasp-juice-shop/tree/8f016f0f701d767d9a5fa3b225bb7f1759a06429/test/cypress/e2e/chatbot.spec.ts" TargetMode="External"/><Relationship Id="rId113" Type="http://schemas.openxmlformats.org/officeDocument/2006/relationships/hyperlink" Target="https://github.com/rhourani/thesis-owasp-juice-shop/tree/8f016f0f701d767d9a5fa3b225bb7f1759a06429/test/api/quantityApiSpec.ts" TargetMode="External"/><Relationship Id="rId134" Type="http://schemas.openxmlformats.org/officeDocument/2006/relationships/hyperlink" Target="https://github.com/rhourani/thesis-owasp-juice-shop/tree/8f016f0f701d767d9a5fa3b225bb7f1759a06429/test/api/loginApiSpec.ts" TargetMode="External"/><Relationship Id="rId80" Type="http://schemas.openxmlformats.org/officeDocument/2006/relationships/hyperlink" Target="https://github.com/rhourani/thesis-owasp-juice-shop/tree/8f016f0f701d767d9a5fa3b225bb7f1759a06429/test/cypress/e2e/register.spec.ts" TargetMode="External"/><Relationship Id="rId155" Type="http://schemas.openxmlformats.org/officeDocument/2006/relationships/hyperlink" Target="https://github.com/rhourani/thesis-owasp-juice-shop/tree/8f016f0f701d767d9a5fa3b225bb7f1759a06429/test/api/deluxeApiSpec.ts" TargetMode="External"/><Relationship Id="rId176" Type="http://schemas.openxmlformats.org/officeDocument/2006/relationships/hyperlink" Target="https://github.com/rhourani/thesis-owasp-juice-shop/tree/8f016f0f701d767d9a5fa3b225bb7f1759a06429/test/api/chatBotSpec.ts" TargetMode="External"/><Relationship Id="rId197" Type="http://schemas.openxmlformats.org/officeDocument/2006/relationships/hyperlink" Target="https://github.com/rhourani/thesis-owasp-juice-shop/tree/8f016f0f701d767d9a5fa3b225bb7f1759a06429/test/api/chatBotSpec.ts" TargetMode="External"/><Relationship Id="rId201" Type="http://schemas.openxmlformats.org/officeDocument/2006/relationships/hyperlink" Target="https://github.com/rhourani/thesis-owasp-juice-shop/tree/8f016f0f701d767d9a5fa3b225bb7f1759a06429/test/server/verifySpec.ts" TargetMode="External"/><Relationship Id="rId222" Type="http://schemas.openxmlformats.org/officeDocument/2006/relationships/hyperlink" Target="https://github.com/rhourani/thesis-owasp-juice-shop/tree/8f016f0f701d767d9a5fa3b225bb7f1759a06429/test/api/2faSpec.ts" TargetMode="External"/><Relationship Id="rId243" Type="http://schemas.openxmlformats.org/officeDocument/2006/relationships/hyperlink" Target="https://github.com/rhourani/thesis-owasp-juice-shop/tree/8f016f0f701d767d9a5fa3b225bb7f1759a06429/test/cypress/e2e/dataErasure.spec.ts" TargetMode="External"/><Relationship Id="rId264" Type="http://schemas.openxmlformats.org/officeDocument/2006/relationships/hyperlink" Target="https://github.com/rhourani/thesis-owasp-juice-shop/tree/8f016f0f701d767d9a5fa3b225bb7f1759a06429/routes/profileImageUrlUpload.ts" TargetMode="External"/><Relationship Id="rId17" Type="http://schemas.openxmlformats.org/officeDocument/2006/relationships/hyperlink" Target="https://github.com/rhourani/thesis-owasp-juice-shop/blob/8f016f0f701d767d9a5fa3b225bb7f1759a06429/routes/logfileServer.ts" TargetMode="External"/><Relationship Id="rId38" Type="http://schemas.openxmlformats.org/officeDocument/2006/relationships/hyperlink" Target="https://github.com/rhourani/thesis-owasp-juice-shop/blob/8f016f0f701d767d9a5fa3b225bb7f1759a06429/routes/errorHandler.ts" TargetMode="External"/><Relationship Id="rId59" Type="http://schemas.openxmlformats.org/officeDocument/2006/relationships/hyperlink" Target="https://github.com/rhourani/thesis-owasp-juice-shop/tree/8f016f0f701d767d9a5fa3b225bb7f1759a06429/test/cypress/e2e/totpSetup.spec.ts" TargetMode="External"/><Relationship Id="rId103" Type="http://schemas.openxmlformats.org/officeDocument/2006/relationships/hyperlink" Target="https://github.com/rhourani/thesis-owasp-juice-shop/tree/8f016f0f701d767d9a5fa3b225bb7f1759a06429/test/api/quantityApiSpec.ts" TargetMode="External"/><Relationship Id="rId124" Type="http://schemas.openxmlformats.org/officeDocument/2006/relationships/hyperlink" Target="https://github.com/rhourani/thesis-owasp-juice-shop/tree/8f016f0f701d767d9a5fa3b225bb7f1759a06429/test/api/orderHistoryApiSpec.ts" TargetMode="External"/><Relationship Id="rId70" Type="http://schemas.openxmlformats.org/officeDocument/2006/relationships/hyperlink" Target="https://github.com/rhourani/thesis-owasp-juice-shop/tree/8f016f0f701d767d9a5fa3b225bb7f1759a06429/test/api/passwordApiSpec.ts" TargetMode="External"/><Relationship Id="rId91" Type="http://schemas.openxmlformats.org/officeDocument/2006/relationships/hyperlink" Target="https://github.com/rhourani/thesis-owasp-juice-shop/tree/8f016f0f701d767d9a5fa3b225bb7f1759a06429/test/api/userApiSpec.ts" TargetMode="External"/><Relationship Id="rId145" Type="http://schemas.openxmlformats.org/officeDocument/2006/relationships/hyperlink" Target="https://github.com/rhourani/thesis-owasp-juice-shop/tree/8f016f0f701d767d9a5fa3b225bb7f1759a06429/test/api/erasureRequestApiSpec.ts" TargetMode="External"/><Relationship Id="rId166" Type="http://schemas.openxmlformats.org/officeDocument/2006/relationships/hyperlink" Target="https://github.com/rhourani/thesis-owasp-juice-shop/tree/8f016f0f701d767d9a5fa3b225bb7f1759a06429/test/api/dataExportApiSpec.ts" TargetMode="External"/><Relationship Id="rId187" Type="http://schemas.openxmlformats.org/officeDocument/2006/relationships/hyperlink" Target="https://github.com/rhourani/thesis-owasp-juice-shop/tree/8f016f0f701d767d9a5fa3b225bb7f1759a06429/test/api/2faSpec.ts" TargetMode="External"/><Relationship Id="rId1" Type="http://schemas.openxmlformats.org/officeDocument/2006/relationships/hyperlink" Target="https://github.com/rhourani/thesis-owasp-juice-shop/blob/8f016f0f701d767d9a5fa3b225bb7f1759a06429/lib/insecurity.ts" TargetMode="External"/><Relationship Id="rId212" Type="http://schemas.openxmlformats.org/officeDocument/2006/relationships/hyperlink" Target="https://github.com/rhourani/thesis-owasp-juice-shop/tree/8f016f0f701d767d9a5fa3b225bb7f1759a06429/test/api/2faSpec.ts" TargetMode="External"/><Relationship Id="rId233" Type="http://schemas.openxmlformats.org/officeDocument/2006/relationships/hyperlink" Target="https://github.com/rhourani/thesis-owasp-juice-shop/tree/8f016f0f701d767d9a5fa3b225bb7f1759a06429/test/cypress/e2e/search.spec.ts" TargetMode="External"/><Relationship Id="rId254" Type="http://schemas.openxmlformats.org/officeDocument/2006/relationships/hyperlink" Target="https://github.com/rhourani/thesis-owasp-juice-shop/tree/8f016f0f701d767d9a5fa3b225bb7f1759a06429/test/cypress/e2e/administration.spec.ts" TargetMode="External"/><Relationship Id="rId28" Type="http://schemas.openxmlformats.org/officeDocument/2006/relationships/hyperlink" Target="https://github.com/rhourani/thesis-owasp-juice-shop/blob/8f016f0f701d767d9a5fa3b225bb7f1759a06429/frontend/src/app/Services/two-factor-auth-service.spec.ts" TargetMode="External"/><Relationship Id="rId49" Type="http://schemas.openxmlformats.org/officeDocument/2006/relationships/hyperlink" Target="https://github.com/rhourani/thesis-owasp-juice-shop/blob/8f016f0f701d767d9a5fa3b225bb7f1759a06429/lib/accuracy.ts" TargetMode="External"/><Relationship Id="rId114" Type="http://schemas.openxmlformats.org/officeDocument/2006/relationships/hyperlink" Target="https://github.com/rhourani/thesis-owasp-juice-shop/tree/8f016f0f701d767d9a5fa3b225bb7f1759a06429/test/api/quantityApiSpec.ts" TargetMode="External"/><Relationship Id="rId60" Type="http://schemas.openxmlformats.org/officeDocument/2006/relationships/hyperlink" Target="https://github.com/rhourani/thesis-owasp-juice-shop/tree/8f016f0f701d767d9a5fa3b225bb7f1759a06429/test/cypress/e2e/search.spec.ts" TargetMode="External"/><Relationship Id="rId81" Type="http://schemas.openxmlformats.org/officeDocument/2006/relationships/hyperlink" Target="https://github.com/rhourani/thesis-owasp-juice-shop/tree/8f016f0f701d767d9a5fa3b225bb7f1759a06429/test/cypress/e2e/noSql.spec.ts" TargetMode="External"/><Relationship Id="rId135" Type="http://schemas.openxmlformats.org/officeDocument/2006/relationships/hyperlink" Target="https://github.com/rhourani/thesis-owasp-juice-shop/tree/8f016f0f701d767d9a5fa3b225bb7f1759a06429/test/api/loginApiSpec.ts" TargetMode="External"/><Relationship Id="rId156" Type="http://schemas.openxmlformats.org/officeDocument/2006/relationships/hyperlink" Target="https://github.com/rhourani/thesis-owasp-juice-shop/tree/8f016f0f701d767d9a5fa3b225bb7f1759a06429/test/api/deluxeApiSpec.ts" TargetMode="External"/><Relationship Id="rId177" Type="http://schemas.openxmlformats.org/officeDocument/2006/relationships/hyperlink" Target="https://github.com/rhourani/thesis-owasp-juice-shop/tree/8f016f0f701d767d9a5fa3b225bb7f1759a06429/test/api/chatBotSpec.ts" TargetMode="External"/><Relationship Id="rId198" Type="http://schemas.openxmlformats.org/officeDocument/2006/relationships/hyperlink" Target="https://github.com/rhourani/thesis-owasp-juice-shop/tree/8f016f0f701d767d9a5fa3b225bb7f1759a06429/test/server/verifySpec.ts" TargetMode="External"/><Relationship Id="rId202" Type="http://schemas.openxmlformats.org/officeDocument/2006/relationships/hyperlink" Target="https://github.com/rhourani/thesis-owasp-juice-shop/tree/8f016f0f701d767d9a5fa3b225bb7f1759a06429/test/server/currentUserSpec.ts" TargetMode="External"/><Relationship Id="rId223" Type="http://schemas.openxmlformats.org/officeDocument/2006/relationships/hyperlink" Target="https://github.com/rhourani/thesis-owasp-juice-shop/tree/8f016f0f701d767d9a5fa3b225bb7f1759a06429/test/api/2faSpec.ts" TargetMode="External"/><Relationship Id="rId244" Type="http://schemas.openxmlformats.org/officeDocument/2006/relationships/hyperlink" Target="https://github.com/rhourani/thesis-owasp-juice-shop/tree/8f016f0f701d767d9a5fa3b225bb7f1759a06429/test/cypress/e2e/contact.spec.ts" TargetMode="External"/><Relationship Id="rId18" Type="http://schemas.openxmlformats.org/officeDocument/2006/relationships/hyperlink" Target="https://github.com/rhourani/thesis-owasp-juice-shop/blob/8f016f0f701d767d9a5fa3b225bb7f1759a06429/routes/keyServer.ts" TargetMode="External"/><Relationship Id="rId39" Type="http://schemas.openxmlformats.org/officeDocument/2006/relationships/hyperlink" Target="https://github.com/rhourani/thesis-owasp-juice-shop/blob/8f016f0f701d767d9a5fa3b225bb7f1759a06429/routes/redirect.ts" TargetMode="External"/><Relationship Id="rId265" Type="http://schemas.openxmlformats.org/officeDocument/2006/relationships/hyperlink" Target="https://github.com/rhourani/thesis-owasp-juice-shop/tree/8f016f0f701d767d9a5fa3b225bb7f1759a06429/routes/profileImageUrlUpload.ts" TargetMode="External"/><Relationship Id="rId50" Type="http://schemas.openxmlformats.org/officeDocument/2006/relationships/hyperlink" Target="https://github.com/rhourani/thesis-owasp-juice-shop/blob/8f016f0f701d767d9a5fa3b225bb7f1759a06429/routes/profileImageUrlUpload.ts" TargetMode="External"/><Relationship Id="rId104" Type="http://schemas.openxmlformats.org/officeDocument/2006/relationships/hyperlink" Target="https://github.com/rhourani/thesis-owasp-juice-shop/tree/8f016f0f701d767d9a5fa3b225bb7f1759a06429/test/api/quantityApiSpec.ts" TargetMode="External"/><Relationship Id="rId125" Type="http://schemas.openxmlformats.org/officeDocument/2006/relationships/hyperlink" Target="https://github.com/rhourani/thesis-owasp-juice-shop/tree/8f016f0f701d767d9a5fa3b225bb7f1759a06429/test/api/orderHistoryApiSpec.ts" TargetMode="External"/><Relationship Id="rId146" Type="http://schemas.openxmlformats.org/officeDocument/2006/relationships/hyperlink" Target="https://github.com/rhourani/thesis-owasp-juice-shop/tree/8f016f0f701d767d9a5fa3b225bb7f1759a06429/test/api/erasureRequestApiSpec.ts" TargetMode="External"/><Relationship Id="rId167" Type="http://schemas.openxmlformats.org/officeDocument/2006/relationships/hyperlink" Target="https://github.com/rhourani/thesis-owasp-juice-shop/tree/8f016f0f701d767d9a5fa3b225bb7f1759a06429/test/api/dataExportApiSpec.ts" TargetMode="External"/><Relationship Id="rId188" Type="http://schemas.openxmlformats.org/officeDocument/2006/relationships/hyperlink" Target="https://github.com/rhourani/thesis-owasp-juice-shop/tree/8f016f0f701d767d9a5fa3b225bb7f1759a06429/test/api/2faSpec.ts" TargetMode="External"/><Relationship Id="rId71" Type="http://schemas.openxmlformats.org/officeDocument/2006/relationships/hyperlink" Target="https://github.com/rhourani/thesis-owasp-juice-shop/tree/8f016f0f701d767d9a5fa3b225bb7f1759a06429/test/api/passwordApiSpec.ts" TargetMode="External"/><Relationship Id="rId92" Type="http://schemas.openxmlformats.org/officeDocument/2006/relationships/hyperlink" Target="https://github.com/rhourani/thesis-owasp-juice-shop/tree/8f016f0f701d767d9a5fa3b225bb7f1759a06429/test/api/userApiSpec.ts" TargetMode="External"/><Relationship Id="rId213" Type="http://schemas.openxmlformats.org/officeDocument/2006/relationships/hyperlink" Target="https://github.com/rhourani/thesis-owasp-juice-shop/tree/8f016f0f701d767d9a5fa3b225bb7f1759a06429/test/api/2faSpec.ts" TargetMode="External"/><Relationship Id="rId234" Type="http://schemas.openxmlformats.org/officeDocument/2006/relationships/hyperlink" Target="https://github.com/rhourani/thesis-owasp-juice-shop/tree/8f016f0f701d767d9a5fa3b225bb7f1759a06429/test/cypress/e2e/restApi.spec.ts" TargetMode="External"/><Relationship Id="rId2" Type="http://schemas.openxmlformats.org/officeDocument/2006/relationships/hyperlink" Target="https://github.com/rhourani/thesis-owasp-juice-shop/blob/8f016f0f701d767d9a5fa3b225bb7f1759a06429/lib/insecurity.ts" TargetMode="External"/><Relationship Id="rId29" Type="http://schemas.openxmlformats.org/officeDocument/2006/relationships/hyperlink" Target="https://github.com/rhourani/thesis-owasp-juice-shop/blob/8f016f0f701d767d9a5fa3b225bb7f1759a06429/frontend/src/app/Services/two-factor-auth-service.spec.ts" TargetMode="External"/><Relationship Id="rId255" Type="http://schemas.openxmlformats.org/officeDocument/2006/relationships/hyperlink" Target="https://github.com/rhourani/thesis-owasp-juice-shop/tree/8f016f0f701d767d9a5fa3b225bb7f1759a06429/routes/vulnCodeSnippet.ts" TargetMode="External"/><Relationship Id="rId40" Type="http://schemas.openxmlformats.org/officeDocument/2006/relationships/hyperlink" Target="https://github.com/rhourani/thesis-owasp-juice-shop/blob/8f016f0f701d767d9a5fa3b225bb7f1759a06429/routes/authenticatedUsers.ts" TargetMode="External"/><Relationship Id="rId115" Type="http://schemas.openxmlformats.org/officeDocument/2006/relationships/hyperlink" Target="https://github.com/rhourani/thesis-owasp-juice-shop/tree/8f016f0f701d767d9a5fa3b225bb7f1759a06429/test/api/quantityApiSpec.ts" TargetMode="External"/><Relationship Id="rId136" Type="http://schemas.openxmlformats.org/officeDocument/2006/relationships/hyperlink" Target="https://github.com/rhourani/thesis-owasp-juice-shop/tree/8f016f0f701d767d9a5fa3b225bb7f1759a06429/test/api/loginApiSpec.ts" TargetMode="External"/><Relationship Id="rId157" Type="http://schemas.openxmlformats.org/officeDocument/2006/relationships/hyperlink" Target="https://github.com/rhourani/thesis-owasp-juice-shop/tree/8f016f0f701d767d9a5fa3b225bb7f1759a06429/test/api/deluxeApiSpec.ts" TargetMode="External"/><Relationship Id="rId178" Type="http://schemas.openxmlformats.org/officeDocument/2006/relationships/hyperlink" Target="https://github.com/rhourani/thesis-owasp-juice-shop/tree/8f016f0f701d767d9a5fa3b225bb7f1759a06429/test/api/chatBotSpec.ts" TargetMode="External"/><Relationship Id="rId61" Type="http://schemas.openxmlformats.org/officeDocument/2006/relationships/hyperlink" Target="https://github.com/rhourani/thesis-owasp-juice-shop/tree/8f016f0f701d767d9a5fa3b225bb7f1759a06429/test/cypress/e2e/search.spec.ts" TargetMode="External"/><Relationship Id="rId82" Type="http://schemas.openxmlformats.org/officeDocument/2006/relationships/hyperlink" Target="https://github.com/rhourani/thesis-owasp-juice-shop/tree/8f016f0f701d767d9a5fa3b225bb7f1759a06429/test/cypress/e2e/noSql.spec.ts" TargetMode="External"/><Relationship Id="rId199" Type="http://schemas.openxmlformats.org/officeDocument/2006/relationships/hyperlink" Target="https://github.com/rhourani/thesis-owasp-juice-shop/tree/8f016f0f701d767d9a5fa3b225bb7f1759a06429/test/server/verifySpec.ts" TargetMode="External"/><Relationship Id="rId203" Type="http://schemas.openxmlformats.org/officeDocument/2006/relationships/hyperlink" Target="https://github.com/rhourani/thesis-owasp-juice-shop/tree/8f016f0f701d767d9a5fa3b225bb7f1759a06429/test/server/currentUserSpec.ts" TargetMode="External"/><Relationship Id="rId19" Type="http://schemas.openxmlformats.org/officeDocument/2006/relationships/hyperlink" Target="https://github.com/rhourani/thesis-owasp-juice-shop/blob/8f016f0f701d767d9a5fa3b225bb7f1759a06429/routes/updateProductReviews.ts" TargetMode="External"/><Relationship Id="rId224" Type="http://schemas.openxmlformats.org/officeDocument/2006/relationships/hyperlink" Target="https://github.com/rhourani/thesis-owasp-juice-shop/tree/8f016f0f701d767d9a5fa3b225bb7f1759a06429/test/api/2faSpec.ts" TargetMode="External"/><Relationship Id="rId245" Type="http://schemas.openxmlformats.org/officeDocument/2006/relationships/hyperlink" Target="https://github.com/rhourani/thesis-owasp-juice-shop/tree/8f016f0f701d767d9a5fa3b225bb7f1759a06429/test/cypress/e2e/contact.spec.ts" TargetMode="External"/><Relationship Id="rId266" Type="http://schemas.openxmlformats.org/officeDocument/2006/relationships/hyperlink" Target="https://github.com/rhourani/thesis-owasp-juice-shop/tree/8f016f0f701d767d9a5fa3b225bb7f1759a06429/test/api/2faSpec.ts" TargetMode="External"/><Relationship Id="rId30" Type="http://schemas.openxmlformats.org/officeDocument/2006/relationships/hyperlink" Target="https://github.com/rhourani/thesis-owasp-juice-shop/blob/8f016f0f701d767d9a5fa3b225bb7f1759a06429/routes/dataErasure.ts" TargetMode="External"/><Relationship Id="rId105" Type="http://schemas.openxmlformats.org/officeDocument/2006/relationships/hyperlink" Target="https://github.com/rhourani/thesis-owasp-juice-shop/tree/8f016f0f701d767d9a5fa3b225bb7f1759a06429/test/api/quantityApiSpec.ts" TargetMode="External"/><Relationship Id="rId126" Type="http://schemas.openxmlformats.org/officeDocument/2006/relationships/hyperlink" Target="https://github.com/rhourani/thesis-owasp-juice-shop/tree/8f016f0f701d767d9a5fa3b225bb7f1759a06429/test/api/memoryApiSpec.ts" TargetMode="External"/><Relationship Id="rId147" Type="http://schemas.openxmlformats.org/officeDocument/2006/relationships/hyperlink" Target="https://github.com/rhourani/thesis-owasp-juice-shop/tree/8f016f0f701d767d9a5fa3b225bb7f1759a06429/test/api/erasureRequestApiSpec.ts" TargetMode="External"/><Relationship Id="rId168" Type="http://schemas.openxmlformats.org/officeDocument/2006/relationships/hyperlink" Target="https://github.com/rhourani/thesis-owasp-juice-shop/tree/8f016f0f701d767d9a5fa3b225bb7f1759a06429/test/api/dataExportApiSpec.ts" TargetMode="External"/><Relationship Id="rId51" Type="http://schemas.openxmlformats.org/officeDocument/2006/relationships/hyperlink" Target="https://github.com/rhourani/thesis-owasp-juice-shop/blob/8f016f0f701d767d9a5fa3b225bb7f1759a06429/test/api/userProfileSpec.ts" TargetMode="External"/><Relationship Id="rId72" Type="http://schemas.openxmlformats.org/officeDocument/2006/relationships/hyperlink" Target="https://github.com/rhourani/thesis-owasp-juice-shop/tree/8f016f0f701d767d9a5fa3b225bb7f1759a06429/test/api/passwordApiSpec.ts" TargetMode="External"/><Relationship Id="rId93" Type="http://schemas.openxmlformats.org/officeDocument/2006/relationships/hyperlink" Target="https://github.com/rhourani/thesis-owasp-juice-shop/tree/8f016f0f701d767d9a5fa3b225bb7f1759a06429/test/api/userApiSpec.ts" TargetMode="External"/><Relationship Id="rId189" Type="http://schemas.openxmlformats.org/officeDocument/2006/relationships/hyperlink" Target="https://github.com/rhourani/thesis-owasp-juice-shop/tree/8f016f0f701d767d9a5fa3b225bb7f1759a06429/test/api/2faSpec.ts" TargetMode="External"/><Relationship Id="rId3" Type="http://schemas.openxmlformats.org/officeDocument/2006/relationships/hyperlink" Target="https://github.com/rhourani/thesis-owasp-juice-shop/blob/8f016f0f701d767d9a5fa3b225bb7f1759a06429/lib/insecurity.ts" TargetMode="External"/><Relationship Id="rId214" Type="http://schemas.openxmlformats.org/officeDocument/2006/relationships/hyperlink" Target="https://github.com/rhourani/thesis-owasp-juice-shop/tree/8f016f0f701d767d9a5fa3b225bb7f1759a06429/test/api/2faSpec.ts" TargetMode="External"/><Relationship Id="rId235" Type="http://schemas.openxmlformats.org/officeDocument/2006/relationships/hyperlink" Target="https://github.com/rhourani/thesis-owasp-juice-shop/tree/8f016f0f701d767d9a5fa3b225bb7f1759a06429/test/cypress/e2e/restApi.spec.ts" TargetMode="External"/><Relationship Id="rId256" Type="http://schemas.openxmlformats.org/officeDocument/2006/relationships/hyperlink" Target="https://github.com/rhourani/thesis-owasp-juice-shop/tree/8f016f0f701d767d9a5fa3b225bb7f1759a06429/routes/vulnCodeSnippet.ts" TargetMode="External"/><Relationship Id="rId116" Type="http://schemas.openxmlformats.org/officeDocument/2006/relationships/hyperlink" Target="https://github.com/rhourani/thesis-owasp-juice-shop/tree/8f016f0f701d767d9a5fa3b225bb7f1759a06429/test/api/quantityApiSpec.ts" TargetMode="External"/><Relationship Id="rId137" Type="http://schemas.openxmlformats.org/officeDocument/2006/relationships/hyperlink" Target="https://github.com/rhourani/thesis-owasp-juice-shop/tree/8f016f0f701d767d9a5fa3b225bb7f1759a06429/test/api/loginApiSpec.ts" TargetMode="External"/><Relationship Id="rId158" Type="http://schemas.openxmlformats.org/officeDocument/2006/relationships/hyperlink" Target="https://github.com/rhourani/thesis-owasp-juice-shop/tree/8f016f0f701d767d9a5fa3b225bb7f1759a06429/test/api/deluxeApiSpec.ts" TargetMode="External"/><Relationship Id="rId20" Type="http://schemas.openxmlformats.org/officeDocument/2006/relationships/hyperlink" Target="https://github.com/rhourani/thesis-owasp-juice-shop/blob/8f016f0f701d767d9a5fa3b225bb7f1759a06429/routes/quarantineServer.ts" TargetMode="External"/><Relationship Id="rId41" Type="http://schemas.openxmlformats.org/officeDocument/2006/relationships/hyperlink" Target="https://github.com/rhourani/thesis-owasp-juice-shop/blob/8f016f0f701d767d9a5fa3b225bb7f1759a06429/routes/videoHandler.ts" TargetMode="External"/><Relationship Id="rId62" Type="http://schemas.openxmlformats.org/officeDocument/2006/relationships/hyperlink" Target="https://github.com/rhourani/thesis-owasp-juice-shop/tree/8f016f0f701d767d9a5fa3b225bb7f1759a06429/test/cypress/e2e/profile.spec.ts" TargetMode="External"/><Relationship Id="rId83" Type="http://schemas.openxmlformats.org/officeDocument/2006/relationships/hyperlink" Target="https://github.com/rhourani/thesis-owasp-juice-shop/tree/8f016f0f701d767d9a5fa3b225bb7f1759a06429/test/cypress/e2e/noSql.spec.ts" TargetMode="External"/><Relationship Id="rId179" Type="http://schemas.openxmlformats.org/officeDocument/2006/relationships/hyperlink" Target="https://github.com/rhourani/thesis-owasp-juice-shop/tree/8f016f0f701d767d9a5fa3b225bb7f1759a06429/test/api/authenticatedUsersSpec.ts" TargetMode="External"/><Relationship Id="rId190" Type="http://schemas.openxmlformats.org/officeDocument/2006/relationships/hyperlink" Target="https://github.com/rhourani/thesis-owasp-juice-shop/tree/8f016f0f701d767d9a5fa3b225bb7f1759a06429/test/api/2faSpec.ts" TargetMode="External"/><Relationship Id="rId204" Type="http://schemas.openxmlformats.org/officeDocument/2006/relationships/hyperlink" Target="https://github.com/rhourani/thesis-owasp-juice-shop/tree/8f016f0f701d767d9a5fa3b225bb7f1759a06429/test/cypress/e2e/totpSetup.spec.ts" TargetMode="External"/><Relationship Id="rId225" Type="http://schemas.openxmlformats.org/officeDocument/2006/relationships/hyperlink" Target="https://github.com/rhourani/thesis-owasp-juice-shop/tree/8f016f0f701d767d9a5fa3b225bb7f1759a06429/test/api/2faSpec.ts" TargetMode="External"/><Relationship Id="rId246" Type="http://schemas.openxmlformats.org/officeDocument/2006/relationships/hyperlink" Target="https://github.com/rhourani/thesis-owasp-juice-shop/tree/8f016f0f701d767d9a5fa3b225bb7f1759a06429/test/cypress/e2e/complain.spec.ts" TargetMode="External"/><Relationship Id="rId267" Type="http://schemas.openxmlformats.org/officeDocument/2006/relationships/hyperlink" Target="https://github.com/rhourani/thesis-owasp-juice-shop/tree/8f016f0f701d767d9a5fa3b225bb7f1759a06429/test/api/productReviewApiSpec.ts" TargetMode="External"/><Relationship Id="rId106" Type="http://schemas.openxmlformats.org/officeDocument/2006/relationships/hyperlink" Target="https://github.com/rhourani/thesis-owasp-juice-shop/tree/8f016f0f701d767d9a5fa3b225bb7f1759a06429/test/api/quantityApiSpec.ts" TargetMode="External"/><Relationship Id="rId127" Type="http://schemas.openxmlformats.org/officeDocument/2006/relationships/hyperlink" Target="https://github.com/rhourani/thesis-owasp-juice-shop/tree/8f016f0f701d767d9a5fa3b225bb7f1759a06429/test/api/memoryApiSpec.ts" TargetMode="External"/><Relationship Id="rId10" Type="http://schemas.openxmlformats.org/officeDocument/2006/relationships/hyperlink" Target="https://github.com/rhourani/thesis-owasp-juice-shop/blob/8f016f0f701d767d9a5fa3b225bb7f1759a06429/frontend/src/app/last-login-ip/last-login-ip.component.spec.ts" TargetMode="External"/><Relationship Id="rId31" Type="http://schemas.openxmlformats.org/officeDocument/2006/relationships/hyperlink" Target="https://github.com/rhourani/thesis-owasp-juice-shop/blob/8f016f0f701d767d9a5fa3b225bb7f1759a06429/routes/dataErasure.ts" TargetMode="External"/><Relationship Id="rId52" Type="http://schemas.openxmlformats.org/officeDocument/2006/relationships/hyperlink" Target="https://github.com/rhourani/thesis-owasp-juice-shop/tree/8f016f0f701d767d9a5fa3b225bb7f1759a06429/test/api/paymentApiSpec.ts" TargetMode="External"/><Relationship Id="rId73" Type="http://schemas.openxmlformats.org/officeDocument/2006/relationships/hyperlink" Target="https://github.com/rhourani/thesis-owasp-juice-shop/tree/8f016f0f701d767d9a5fa3b225bb7f1759a06429/test/api/passwordApiSpec.ts" TargetMode="External"/><Relationship Id="rId94" Type="http://schemas.openxmlformats.org/officeDocument/2006/relationships/hyperlink" Target="https://github.com/rhourani/thesis-owasp-juice-shop/tree/8f016f0f701d767d9a5fa3b225bb7f1759a06429/test/api/userApiSpec.ts" TargetMode="External"/><Relationship Id="rId148" Type="http://schemas.openxmlformats.org/officeDocument/2006/relationships/hyperlink" Target="https://github.com/rhourani/thesis-owasp-juice-shop/tree/8f016f0f701d767d9a5fa3b225bb7f1759a06429/test/api/erasureRequestApiSpec.ts" TargetMode="External"/><Relationship Id="rId169" Type="http://schemas.openxmlformats.org/officeDocument/2006/relationships/hyperlink" Target="https://github.com/rhourani/thesis-owasp-juice-shop/tree/8f016f0f701d767d9a5fa3b225bb7f1759a06429/test/api/dataExportApiSpec.ts" TargetMode="External"/><Relationship Id="rId4" Type="http://schemas.openxmlformats.org/officeDocument/2006/relationships/hyperlink" Target="https://github.com/rhourani/thesis-owasp-juice-shop/blob/8f016f0f701d767d9a5fa3b225bb7f1759a06429/routes/likeProductReviews.ts" TargetMode="External"/><Relationship Id="rId180" Type="http://schemas.openxmlformats.org/officeDocument/2006/relationships/hyperlink" Target="https://github.com/rhourani/thesis-owasp-juice-shop/tree/8f016f0f701d767d9a5fa3b225bb7f1759a06429/test/api/authenticatedUsersSpec.ts" TargetMode="External"/><Relationship Id="rId215" Type="http://schemas.openxmlformats.org/officeDocument/2006/relationships/hyperlink" Target="https://github.com/rhourani/thesis-owasp-juice-shop/tree/8f016f0f701d767d9a5fa3b225bb7f1759a06429/test/api/2faSpec.ts" TargetMode="External"/><Relationship Id="rId236" Type="http://schemas.openxmlformats.org/officeDocument/2006/relationships/hyperlink" Target="https://github.com/rhourani/thesis-owasp-juice-shop/tree/8f016f0f701d767d9a5fa3b225bb7f1759a06429/test/cypress/e2e/register.spec.ts" TargetMode="External"/><Relationship Id="rId257" Type="http://schemas.openxmlformats.org/officeDocument/2006/relationships/hyperlink" Target="https://github.com/rhourani/thesis-owasp-juice-shop/tree/8f016f0f701d767d9a5fa3b225bb7f1759a06429/routes/vulnCodeSnippet.ts" TargetMode="External"/><Relationship Id="rId42" Type="http://schemas.openxmlformats.org/officeDocument/2006/relationships/hyperlink" Target="https://github.com/rhourani/thesis-owasp-juice-shop/blob/8f016f0f701d767d9a5fa3b225bb7f1759a06429/routes/privacyPolicyProof.ts" TargetMode="External"/><Relationship Id="rId84" Type="http://schemas.openxmlformats.org/officeDocument/2006/relationships/hyperlink" Target="https://github.com/rhourani/thesis-owasp-juice-shop/tree/8f016f0f701d767d9a5fa3b225bb7f1759a06429/test/cypress/e2e/noSql.spec.ts" TargetMode="External"/><Relationship Id="rId138" Type="http://schemas.openxmlformats.org/officeDocument/2006/relationships/hyperlink" Target="https://github.com/rhourani/thesis-owasp-juice-shop/tree/8f016f0f701d767d9a5fa3b225bb7f1759a06429/test/api/loginApiSpec.ts" TargetMode="External"/><Relationship Id="rId191" Type="http://schemas.openxmlformats.org/officeDocument/2006/relationships/hyperlink" Target="https://github.com/rhourani/thesis-owasp-juice-shop/tree/8f016f0f701d767d9a5fa3b225bb7f1759a06429/test/api/chatBotSpec.ts" TargetMode="External"/><Relationship Id="rId205" Type="http://schemas.openxmlformats.org/officeDocument/2006/relationships/hyperlink" Target="https://github.com/rhourani/thesis-owasp-juice-shop/tree/8f016f0f701d767d9a5fa3b225bb7f1759a06429/test/cypress/e2e/forgedJwt.spec.ts" TargetMode="External"/><Relationship Id="rId247" Type="http://schemas.openxmlformats.org/officeDocument/2006/relationships/hyperlink" Target="https://github.com/rhourani/thesis-owasp-juice-shop/tree/8f016f0f701d767d9a5fa3b225bb7f1759a06429/test/cypress/e2e/chatbot.spec.ts" TargetMode="External"/><Relationship Id="rId107" Type="http://schemas.openxmlformats.org/officeDocument/2006/relationships/hyperlink" Target="https://github.com/rhourani/thesis-owasp-juice-shop/tree/8f016f0f701d767d9a5fa3b225bb7f1759a06429/test/api/quantityApiSpec.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onarcloud.io/project/issues?open=AZpaquMzKS0GYb6wVLGJ&amp;id=rhourani_thesis-owasp-juice-sho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ve.org/CVERecord?id=CVE-2025-7338" TargetMode="External"/><Relationship Id="rId3" Type="http://schemas.openxmlformats.org/officeDocument/2006/relationships/hyperlink" Target="https://www.cve.org/CVERecord?id=CVE-2023-37903" TargetMode="External"/><Relationship Id="rId7" Type="http://schemas.openxmlformats.org/officeDocument/2006/relationships/hyperlink" Target="https://www.cve.org/CVERecord?id=CVE-2025-47935" TargetMode="External"/><Relationship Id="rId2" Type="http://schemas.openxmlformats.org/officeDocument/2006/relationships/hyperlink" Target="https://www.cve.org/CVERecord?id=CVE-2023-37466" TargetMode="External"/><Relationship Id="rId1" Type="http://schemas.openxmlformats.org/officeDocument/2006/relationships/hyperlink" Target="https://www.cve.org/CVERecord?id=CVE-2025-48997" TargetMode="External"/><Relationship Id="rId6" Type="http://schemas.openxmlformats.org/officeDocument/2006/relationships/hyperlink" Target="https://www.cve.org/CVERecord?id=CVE-2025-4794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github.com/advisories/GHSA-5mrr-rgp6-x4gr" TargetMode="External"/><Relationship Id="rId10" Type="http://schemas.openxmlformats.org/officeDocument/2006/relationships/hyperlink" Target="https://www.cve.org/CVERecord?id=CVE-2015-9235" TargetMode="External"/><Relationship Id="rId4" Type="http://schemas.openxmlformats.org/officeDocument/2006/relationships/hyperlink" Target="https://www.cve.org/CVERecord?id=CVE-2023-32314" TargetMode="External"/><Relationship Id="rId9" Type="http://schemas.openxmlformats.org/officeDocument/2006/relationships/hyperlink" Target="https://hackerone.com/reports/32168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we.mitre.org/data/definitions/611.html" TargetMode="External"/><Relationship Id="rId3" Type="http://schemas.openxmlformats.org/officeDocument/2006/relationships/hyperlink" Target="https://cwe.mitre.org/data/definitions/20.html" TargetMode="External"/><Relationship Id="rId7" Type="http://schemas.openxmlformats.org/officeDocument/2006/relationships/hyperlink" Target="https://cwe.mitre.org/data/definitions/601.html" TargetMode="External"/><Relationship Id="rId2" Type="http://schemas.openxmlformats.org/officeDocument/2006/relationships/hyperlink" Target="https://cwe.mitre.org/data/definitions/79.html" TargetMode="External"/><Relationship Id="rId1" Type="http://schemas.openxmlformats.org/officeDocument/2006/relationships/hyperlink" Target="http://cwe.mitre.org/data/definitions/362.html" TargetMode="External"/><Relationship Id="rId6" Type="http://schemas.openxmlformats.org/officeDocument/2006/relationships/hyperlink" Target="https://cwe.mitre.org/data/definitions/656.html" TargetMode="External"/><Relationship Id="rId5" Type="http://schemas.openxmlformats.org/officeDocument/2006/relationships/hyperlink" Target="https://cwe.mitre.org/data/definitions/209.html" TargetMode="External"/><Relationship Id="rId4" Type="http://schemas.openxmlformats.org/officeDocument/2006/relationships/hyperlink" Target="https://cwe.mitre.org/data/definitions/502.html" TargetMode="Externa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6D78-084A-4190-9B79-C47C30B02291}">
  <dimension ref="A1:Y273"/>
  <sheetViews>
    <sheetView workbookViewId="0"/>
  </sheetViews>
  <sheetFormatPr defaultRowHeight="14.4" x14ac:dyDescent="0.3"/>
  <cols>
    <col min="1" max="1" width="14.88671875" customWidth="1"/>
    <col min="2" max="2" width="8.109375" customWidth="1"/>
    <col min="3" max="3" width="55.88671875" customWidth="1"/>
    <col min="4" max="4" width="4.33203125" customWidth="1"/>
    <col min="5" max="5" width="21.88671875" customWidth="1"/>
    <col min="6" max="6" width="4.44140625" customWidth="1"/>
    <col min="7" max="7" width="6" customWidth="1"/>
    <col min="8" max="8" width="4.33203125" customWidth="1"/>
    <col min="9" max="9" width="45.6640625" customWidth="1"/>
    <col min="10" max="10" width="26.5546875" customWidth="1"/>
    <col min="11" max="11" width="5.33203125" customWidth="1"/>
    <col min="12" max="12" width="5" customWidth="1"/>
    <col min="13" max="13" width="9.109375" customWidth="1"/>
    <col min="14" max="14" width="11.5546875" customWidth="1"/>
    <col min="15" max="15" width="51.6640625" customWidth="1"/>
    <col min="16" max="16" width="8.88671875" style="7"/>
    <col min="17" max="17" width="4.33203125" bestFit="1" customWidth="1"/>
    <col min="18" max="18" width="9.44140625" bestFit="1" customWidth="1"/>
    <col min="19" max="19" width="12.5546875" customWidth="1"/>
    <col min="20" max="20" width="6.33203125" customWidth="1"/>
    <col min="21" max="21" width="3.44140625" customWidth="1"/>
    <col min="24" max="24" width="6.109375" customWidth="1"/>
    <col min="25" max="25" width="16.88671875" customWidth="1"/>
  </cols>
  <sheetData>
    <row r="1" spans="1:25" x14ac:dyDescent="0.3">
      <c r="A1" t="s">
        <v>147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11</v>
      </c>
      <c r="R1" t="s">
        <v>15</v>
      </c>
      <c r="S1" t="s">
        <v>16</v>
      </c>
      <c r="T1" t="s">
        <v>17</v>
      </c>
      <c r="U1" t="s">
        <v>18</v>
      </c>
      <c r="X1" s="4" t="s">
        <v>19</v>
      </c>
      <c r="Y1" s="4" t="s">
        <v>20</v>
      </c>
    </row>
    <row r="2" spans="1:25" ht="43.2" x14ac:dyDescent="0.3">
      <c r="A2" t="s">
        <v>21</v>
      </c>
      <c r="B2" t="s">
        <v>22</v>
      </c>
      <c r="C2" t="s">
        <v>23</v>
      </c>
      <c r="D2">
        <v>22</v>
      </c>
      <c r="E2" s="1" t="s">
        <v>24</v>
      </c>
      <c r="F2" t="s">
        <v>25</v>
      </c>
      <c r="I2" t="s">
        <v>26</v>
      </c>
      <c r="J2" t="s">
        <v>26</v>
      </c>
      <c r="K2">
        <v>547</v>
      </c>
      <c r="L2" t="s">
        <v>27</v>
      </c>
      <c r="N2" t="s">
        <v>28</v>
      </c>
      <c r="O2" t="s">
        <v>29</v>
      </c>
      <c r="Q2" t="s">
        <v>27</v>
      </c>
      <c r="R2" t="s">
        <v>25</v>
      </c>
      <c r="S2" t="s">
        <v>26</v>
      </c>
      <c r="T2" s="3" t="s">
        <v>30</v>
      </c>
      <c r="U2" t="s">
        <v>31</v>
      </c>
      <c r="X2" s="3" t="s">
        <v>30</v>
      </c>
      <c r="Y2" s="3" t="s">
        <v>32</v>
      </c>
    </row>
    <row r="3" spans="1:25" ht="57.6" x14ac:dyDescent="0.3">
      <c r="A3" t="s">
        <v>33</v>
      </c>
      <c r="B3" t="s">
        <v>22</v>
      </c>
      <c r="C3" t="s">
        <v>23</v>
      </c>
      <c r="D3">
        <v>54</v>
      </c>
      <c r="E3" s="1" t="s">
        <v>24</v>
      </c>
      <c r="F3" t="s">
        <v>25</v>
      </c>
      <c r="H3" t="s">
        <v>25</v>
      </c>
      <c r="I3" t="s">
        <v>33</v>
      </c>
      <c r="J3" t="s">
        <v>26</v>
      </c>
      <c r="K3">
        <v>547</v>
      </c>
      <c r="L3" t="s">
        <v>27</v>
      </c>
      <c r="N3" t="s">
        <v>34</v>
      </c>
      <c r="O3" t="s">
        <v>35</v>
      </c>
      <c r="Q3" t="s">
        <v>36</v>
      </c>
      <c r="R3" t="s">
        <v>37</v>
      </c>
      <c r="S3" t="s">
        <v>38</v>
      </c>
      <c r="T3" s="3" t="s">
        <v>28</v>
      </c>
      <c r="U3" t="s">
        <v>22</v>
      </c>
      <c r="X3" s="3" t="s">
        <v>28</v>
      </c>
      <c r="Y3" s="3" t="s">
        <v>39</v>
      </c>
    </row>
    <row r="4" spans="1:25" ht="72" x14ac:dyDescent="0.3">
      <c r="A4" t="s">
        <v>21</v>
      </c>
      <c r="B4" t="s">
        <v>22</v>
      </c>
      <c r="C4" t="s">
        <v>23</v>
      </c>
      <c r="D4">
        <v>23</v>
      </c>
      <c r="E4" s="1" t="s">
        <v>24</v>
      </c>
      <c r="F4" t="s">
        <v>25</v>
      </c>
      <c r="I4" t="s">
        <v>26</v>
      </c>
      <c r="J4" t="s">
        <v>26</v>
      </c>
      <c r="K4">
        <v>547</v>
      </c>
      <c r="L4" t="s">
        <v>27</v>
      </c>
      <c r="M4" t="s">
        <v>25</v>
      </c>
      <c r="N4" t="s">
        <v>28</v>
      </c>
      <c r="O4" t="s">
        <v>40</v>
      </c>
      <c r="R4" t="s">
        <v>41</v>
      </c>
      <c r="S4" t="s">
        <v>42</v>
      </c>
      <c r="T4" s="3" t="s">
        <v>34</v>
      </c>
      <c r="U4" t="s">
        <v>43</v>
      </c>
      <c r="X4" s="3" t="s">
        <v>34</v>
      </c>
      <c r="Y4" s="3" t="s">
        <v>44</v>
      </c>
    </row>
    <row r="5" spans="1:25" ht="57.6" x14ac:dyDescent="0.3">
      <c r="A5" t="s">
        <v>33</v>
      </c>
      <c r="B5" t="s">
        <v>22</v>
      </c>
      <c r="C5" t="s">
        <v>23</v>
      </c>
      <c r="D5">
        <v>23</v>
      </c>
      <c r="E5" s="1" t="s">
        <v>24</v>
      </c>
      <c r="F5" t="s">
        <v>25</v>
      </c>
      <c r="H5" t="s">
        <v>25</v>
      </c>
      <c r="I5" t="s">
        <v>33</v>
      </c>
      <c r="J5" t="s">
        <v>26</v>
      </c>
      <c r="K5">
        <v>547</v>
      </c>
      <c r="L5" t="s">
        <v>27</v>
      </c>
      <c r="N5" t="s">
        <v>45</v>
      </c>
      <c r="O5" t="s">
        <v>35</v>
      </c>
      <c r="S5" t="s">
        <v>33</v>
      </c>
      <c r="T5" s="3" t="s">
        <v>45</v>
      </c>
      <c r="U5" t="s">
        <v>46</v>
      </c>
      <c r="X5" s="3" t="s">
        <v>45</v>
      </c>
      <c r="Y5" s="3" t="s">
        <v>47</v>
      </c>
    </row>
    <row r="6" spans="1:25" ht="100.8" x14ac:dyDescent="0.3">
      <c r="A6" t="s">
        <v>21</v>
      </c>
      <c r="B6" t="s">
        <v>22</v>
      </c>
      <c r="C6" t="s">
        <v>23</v>
      </c>
      <c r="D6">
        <v>44</v>
      </c>
      <c r="E6" s="1" t="s">
        <v>24</v>
      </c>
      <c r="F6" t="s">
        <v>25</v>
      </c>
      <c r="I6" t="s">
        <v>26</v>
      </c>
      <c r="J6" t="s">
        <v>26</v>
      </c>
      <c r="K6">
        <v>547</v>
      </c>
      <c r="L6" t="s">
        <v>27</v>
      </c>
      <c r="N6" t="s">
        <v>48</v>
      </c>
      <c r="S6" t="s">
        <v>49</v>
      </c>
      <c r="T6" s="3" t="s">
        <v>48</v>
      </c>
      <c r="X6" s="3" t="s">
        <v>48</v>
      </c>
      <c r="Y6" s="3" t="s">
        <v>50</v>
      </c>
    </row>
    <row r="7" spans="1:25" ht="43.2" x14ac:dyDescent="0.3">
      <c r="A7" t="s">
        <v>38</v>
      </c>
      <c r="B7" t="s">
        <v>22</v>
      </c>
      <c r="C7" t="s">
        <v>51</v>
      </c>
      <c r="D7">
        <v>25</v>
      </c>
      <c r="E7" s="1" t="s">
        <v>52</v>
      </c>
      <c r="F7" t="s">
        <v>25</v>
      </c>
      <c r="I7" t="s">
        <v>38</v>
      </c>
      <c r="J7" t="s">
        <v>38</v>
      </c>
      <c r="K7">
        <v>943</v>
      </c>
      <c r="L7" t="s">
        <v>27</v>
      </c>
      <c r="M7" t="s">
        <v>25</v>
      </c>
      <c r="N7" t="s">
        <v>48</v>
      </c>
      <c r="S7" t="s">
        <v>53</v>
      </c>
      <c r="T7" s="3" t="s">
        <v>180</v>
      </c>
    </row>
    <row r="8" spans="1:25" x14ac:dyDescent="0.3">
      <c r="A8" t="s">
        <v>38</v>
      </c>
      <c r="B8" t="s">
        <v>22</v>
      </c>
      <c r="C8" t="s">
        <v>51</v>
      </c>
      <c r="D8">
        <v>43</v>
      </c>
      <c r="E8" s="1" t="s">
        <v>54</v>
      </c>
      <c r="F8" t="s">
        <v>25</v>
      </c>
      <c r="I8" t="s">
        <v>38</v>
      </c>
      <c r="J8" t="s">
        <v>38</v>
      </c>
      <c r="K8">
        <v>943</v>
      </c>
      <c r="L8" t="s">
        <v>27</v>
      </c>
      <c r="M8" t="s">
        <v>25</v>
      </c>
      <c r="N8" t="s">
        <v>48</v>
      </c>
      <c r="S8" t="s">
        <v>55</v>
      </c>
    </row>
    <row r="9" spans="1:25" x14ac:dyDescent="0.3">
      <c r="A9" t="s">
        <v>38</v>
      </c>
      <c r="B9" t="s">
        <v>22</v>
      </c>
      <c r="C9" t="s">
        <v>51</v>
      </c>
      <c r="D9">
        <v>35</v>
      </c>
      <c r="E9" s="1" t="s">
        <v>56</v>
      </c>
      <c r="F9" t="s">
        <v>25</v>
      </c>
      <c r="I9" t="s">
        <v>38</v>
      </c>
      <c r="J9" t="s">
        <v>38</v>
      </c>
      <c r="K9">
        <v>943</v>
      </c>
      <c r="L9" t="s">
        <v>27</v>
      </c>
      <c r="M9" t="s">
        <v>25</v>
      </c>
      <c r="N9" t="s">
        <v>48</v>
      </c>
      <c r="S9" t="s">
        <v>133</v>
      </c>
    </row>
    <row r="10" spans="1:25" x14ac:dyDescent="0.3">
      <c r="A10" t="s">
        <v>38</v>
      </c>
      <c r="B10" t="s">
        <v>22</v>
      </c>
      <c r="C10" t="s">
        <v>51</v>
      </c>
      <c r="D10">
        <v>50</v>
      </c>
      <c r="E10" s="1" t="s">
        <v>52</v>
      </c>
      <c r="F10" t="s">
        <v>25</v>
      </c>
      <c r="I10" t="s">
        <v>38</v>
      </c>
      <c r="J10" t="s">
        <v>38</v>
      </c>
      <c r="K10">
        <v>943</v>
      </c>
      <c r="L10" t="s">
        <v>27</v>
      </c>
      <c r="M10" t="s">
        <v>25</v>
      </c>
      <c r="N10" t="s">
        <v>48</v>
      </c>
      <c r="S10" t="s">
        <v>140</v>
      </c>
    </row>
    <row r="11" spans="1:25" x14ac:dyDescent="0.3">
      <c r="A11" t="s">
        <v>42</v>
      </c>
      <c r="B11" t="s">
        <v>22</v>
      </c>
      <c r="C11" t="s">
        <v>57</v>
      </c>
      <c r="D11">
        <v>29</v>
      </c>
      <c r="E11" s="1" t="s">
        <v>58</v>
      </c>
      <c r="F11" t="s">
        <v>25</v>
      </c>
      <c r="I11" t="s">
        <v>42</v>
      </c>
      <c r="J11" t="s">
        <v>42</v>
      </c>
      <c r="K11">
        <v>23</v>
      </c>
      <c r="L11" t="s">
        <v>27</v>
      </c>
      <c r="N11" t="s">
        <v>48</v>
      </c>
      <c r="S11" t="s">
        <v>143</v>
      </c>
    </row>
    <row r="12" spans="1:25" x14ac:dyDescent="0.3">
      <c r="A12" t="s">
        <v>49</v>
      </c>
      <c r="B12" t="s">
        <v>22</v>
      </c>
      <c r="C12" t="s">
        <v>57</v>
      </c>
      <c r="D12">
        <v>24</v>
      </c>
      <c r="E12" s="1" t="s">
        <v>58</v>
      </c>
      <c r="F12" t="s">
        <v>25</v>
      </c>
      <c r="I12" t="s">
        <v>49</v>
      </c>
      <c r="J12" t="s">
        <v>49</v>
      </c>
      <c r="K12">
        <v>918</v>
      </c>
      <c r="L12" t="s">
        <v>27</v>
      </c>
      <c r="M12" t="s">
        <v>25</v>
      </c>
      <c r="N12" t="s">
        <v>48</v>
      </c>
      <c r="S12" t="s">
        <v>146</v>
      </c>
    </row>
    <row r="13" spans="1:25" x14ac:dyDescent="0.3">
      <c r="A13" t="s">
        <v>33</v>
      </c>
      <c r="B13" t="s">
        <v>22</v>
      </c>
      <c r="C13" t="s">
        <v>59</v>
      </c>
      <c r="D13">
        <v>61</v>
      </c>
      <c r="E13" s="1" t="s">
        <v>60</v>
      </c>
      <c r="F13" t="s">
        <v>37</v>
      </c>
      <c r="G13" t="s">
        <v>25</v>
      </c>
      <c r="I13" t="s">
        <v>33</v>
      </c>
      <c r="J13" t="s">
        <v>33</v>
      </c>
      <c r="K13">
        <v>547</v>
      </c>
      <c r="L13" t="s">
        <v>27</v>
      </c>
      <c r="M13" t="s">
        <v>25</v>
      </c>
      <c r="N13" t="s">
        <v>30</v>
      </c>
      <c r="O13" t="s">
        <v>61</v>
      </c>
      <c r="S13" t="s">
        <v>150</v>
      </c>
    </row>
    <row r="14" spans="1:25" ht="15.6" customHeight="1" x14ac:dyDescent="0.3">
      <c r="A14" t="s">
        <v>33</v>
      </c>
      <c r="B14" t="s">
        <v>22</v>
      </c>
      <c r="C14" t="s">
        <v>62</v>
      </c>
      <c r="D14">
        <v>38</v>
      </c>
      <c r="E14" s="1" t="s">
        <v>63</v>
      </c>
      <c r="F14" t="s">
        <v>37</v>
      </c>
      <c r="G14" t="s">
        <v>25</v>
      </c>
      <c r="I14" t="s">
        <v>33</v>
      </c>
      <c r="J14" t="s">
        <v>33</v>
      </c>
      <c r="K14">
        <v>547</v>
      </c>
      <c r="L14" t="s">
        <v>27</v>
      </c>
      <c r="M14" t="s">
        <v>25</v>
      </c>
      <c r="N14" t="s">
        <v>30</v>
      </c>
      <c r="O14" t="s">
        <v>61</v>
      </c>
      <c r="S14" t="s">
        <v>153</v>
      </c>
    </row>
    <row r="15" spans="1:25" x14ac:dyDescent="0.3">
      <c r="A15" t="s">
        <v>53</v>
      </c>
      <c r="B15" t="s">
        <v>22</v>
      </c>
      <c r="C15" t="s">
        <v>64</v>
      </c>
      <c r="D15">
        <v>34</v>
      </c>
      <c r="E15" s="1" t="s">
        <v>65</v>
      </c>
      <c r="F15" t="s">
        <v>25</v>
      </c>
      <c r="I15" t="s">
        <v>53</v>
      </c>
      <c r="J15" t="s">
        <v>53</v>
      </c>
      <c r="K15">
        <v>89</v>
      </c>
      <c r="L15" t="s">
        <v>27</v>
      </c>
      <c r="M15" t="s">
        <v>25</v>
      </c>
      <c r="N15" t="s">
        <v>48</v>
      </c>
      <c r="S15" t="s">
        <v>158</v>
      </c>
    </row>
    <row r="16" spans="1:25" x14ac:dyDescent="0.3">
      <c r="A16" t="s">
        <v>53</v>
      </c>
      <c r="B16" t="s">
        <v>22</v>
      </c>
      <c r="C16" t="s">
        <v>66</v>
      </c>
      <c r="D16">
        <v>23</v>
      </c>
      <c r="E16" s="1" t="s">
        <v>67</v>
      </c>
      <c r="F16" t="s">
        <v>25</v>
      </c>
      <c r="I16" t="s">
        <v>53</v>
      </c>
      <c r="J16" t="s">
        <v>53</v>
      </c>
      <c r="K16">
        <v>89</v>
      </c>
      <c r="L16" t="s">
        <v>27</v>
      </c>
      <c r="M16" t="s">
        <v>25</v>
      </c>
      <c r="N16" t="s">
        <v>48</v>
      </c>
      <c r="S16" t="s">
        <v>161</v>
      </c>
    </row>
    <row r="17" spans="1:19" x14ac:dyDescent="0.3">
      <c r="A17" t="s">
        <v>53</v>
      </c>
      <c r="B17" t="s">
        <v>22</v>
      </c>
      <c r="C17" t="s">
        <v>68</v>
      </c>
      <c r="D17">
        <v>10</v>
      </c>
      <c r="E17" s="1" t="s">
        <v>69</v>
      </c>
      <c r="F17" t="s">
        <v>25</v>
      </c>
      <c r="I17" t="s">
        <v>53</v>
      </c>
      <c r="J17" t="s">
        <v>53</v>
      </c>
      <c r="K17">
        <v>89</v>
      </c>
      <c r="L17" t="s">
        <v>27</v>
      </c>
      <c r="N17" t="s">
        <v>48</v>
      </c>
      <c r="S17" t="s">
        <v>227</v>
      </c>
    </row>
    <row r="18" spans="1:19" x14ac:dyDescent="0.3">
      <c r="A18" t="s">
        <v>53</v>
      </c>
      <c r="B18" t="s">
        <v>22</v>
      </c>
      <c r="C18" t="s">
        <v>70</v>
      </c>
      <c r="D18">
        <v>6</v>
      </c>
      <c r="E18" s="1" t="s">
        <v>71</v>
      </c>
      <c r="F18" t="s">
        <v>25</v>
      </c>
      <c r="I18" t="s">
        <v>53</v>
      </c>
      <c r="J18" t="s">
        <v>53</v>
      </c>
      <c r="K18">
        <v>89</v>
      </c>
      <c r="L18" t="s">
        <v>27</v>
      </c>
      <c r="N18" t="s">
        <v>48</v>
      </c>
      <c r="S18" t="s">
        <v>229</v>
      </c>
    </row>
    <row r="19" spans="1:19" x14ac:dyDescent="0.3">
      <c r="A19" t="s">
        <v>53</v>
      </c>
      <c r="B19" t="s">
        <v>22</v>
      </c>
      <c r="C19" t="s">
        <v>72</v>
      </c>
      <c r="D19">
        <v>5</v>
      </c>
      <c r="E19" s="1" t="s">
        <v>73</v>
      </c>
      <c r="F19" t="s">
        <v>25</v>
      </c>
      <c r="I19" t="s">
        <v>53</v>
      </c>
      <c r="J19" t="s">
        <v>53</v>
      </c>
      <c r="K19">
        <v>89</v>
      </c>
      <c r="L19" t="s">
        <v>27</v>
      </c>
      <c r="N19" t="s">
        <v>48</v>
      </c>
      <c r="S19" t="s">
        <v>232</v>
      </c>
    </row>
    <row r="20" spans="1:19" x14ac:dyDescent="0.3">
      <c r="A20" t="s">
        <v>42</v>
      </c>
      <c r="B20" t="s">
        <v>22</v>
      </c>
      <c r="C20" t="s">
        <v>74</v>
      </c>
      <c r="D20">
        <v>14</v>
      </c>
      <c r="E20" s="1" t="s">
        <v>75</v>
      </c>
      <c r="F20" t="s">
        <v>25</v>
      </c>
      <c r="I20" t="s">
        <v>42</v>
      </c>
      <c r="J20" t="s">
        <v>42</v>
      </c>
      <c r="K20">
        <v>23</v>
      </c>
      <c r="L20" t="s">
        <v>27</v>
      </c>
      <c r="N20" t="s">
        <v>48</v>
      </c>
      <c r="S20" t="s">
        <v>235</v>
      </c>
    </row>
    <row r="21" spans="1:19" x14ac:dyDescent="0.3">
      <c r="A21" t="s">
        <v>42</v>
      </c>
      <c r="B21" t="s">
        <v>22</v>
      </c>
      <c r="C21" t="s">
        <v>76</v>
      </c>
      <c r="D21">
        <v>14</v>
      </c>
      <c r="E21" s="1" t="s">
        <v>77</v>
      </c>
      <c r="F21" t="s">
        <v>25</v>
      </c>
      <c r="I21" t="s">
        <v>42</v>
      </c>
      <c r="J21" t="s">
        <v>42</v>
      </c>
      <c r="K21">
        <v>23</v>
      </c>
      <c r="L21" t="s">
        <v>27</v>
      </c>
      <c r="N21" t="s">
        <v>48</v>
      </c>
    </row>
    <row r="22" spans="1:19" x14ac:dyDescent="0.3">
      <c r="A22" t="s">
        <v>38</v>
      </c>
      <c r="B22" t="s">
        <v>22</v>
      </c>
      <c r="C22" t="s">
        <v>78</v>
      </c>
      <c r="D22">
        <v>17</v>
      </c>
      <c r="E22" s="1" t="s">
        <v>79</v>
      </c>
      <c r="F22" t="s">
        <v>25</v>
      </c>
      <c r="I22" t="s">
        <v>38</v>
      </c>
      <c r="J22" t="s">
        <v>38</v>
      </c>
      <c r="K22">
        <v>943</v>
      </c>
      <c r="L22" t="s">
        <v>27</v>
      </c>
      <c r="M22" t="s">
        <v>25</v>
      </c>
      <c r="N22" t="s">
        <v>48</v>
      </c>
    </row>
    <row r="23" spans="1:19" x14ac:dyDescent="0.3">
      <c r="A23" t="s">
        <v>42</v>
      </c>
      <c r="B23" t="s">
        <v>22</v>
      </c>
      <c r="C23" t="s">
        <v>80</v>
      </c>
      <c r="D23">
        <v>4</v>
      </c>
      <c r="E23" s="1" t="s">
        <v>81</v>
      </c>
      <c r="F23" t="s">
        <v>25</v>
      </c>
      <c r="I23" t="s">
        <v>42</v>
      </c>
      <c r="J23" t="s">
        <v>42</v>
      </c>
      <c r="K23">
        <v>23</v>
      </c>
      <c r="L23" t="s">
        <v>27</v>
      </c>
      <c r="N23" t="s">
        <v>48</v>
      </c>
    </row>
    <row r="24" spans="1:19" x14ac:dyDescent="0.3">
      <c r="A24" t="s">
        <v>42</v>
      </c>
      <c r="B24" t="s">
        <v>22</v>
      </c>
      <c r="C24" t="s">
        <v>82</v>
      </c>
      <c r="D24">
        <v>33</v>
      </c>
      <c r="E24" s="1" t="s">
        <v>83</v>
      </c>
      <c r="F24" t="s">
        <v>25</v>
      </c>
      <c r="I24" t="s">
        <v>42</v>
      </c>
      <c r="J24" t="s">
        <v>42</v>
      </c>
      <c r="K24">
        <v>23</v>
      </c>
      <c r="L24" t="s">
        <v>27</v>
      </c>
      <c r="N24" t="s">
        <v>48</v>
      </c>
    </row>
    <row r="25" spans="1:19" x14ac:dyDescent="0.3">
      <c r="A25" t="s">
        <v>55</v>
      </c>
      <c r="B25" t="s">
        <v>22</v>
      </c>
      <c r="C25" t="s">
        <v>84</v>
      </c>
      <c r="D25">
        <v>97</v>
      </c>
      <c r="E25" s="1" t="s">
        <v>85</v>
      </c>
      <c r="F25" t="s">
        <v>25</v>
      </c>
      <c r="I25" t="s">
        <v>55</v>
      </c>
      <c r="J25" t="s">
        <v>55</v>
      </c>
      <c r="K25">
        <v>79</v>
      </c>
      <c r="L25" t="s">
        <v>27</v>
      </c>
      <c r="N25" t="s">
        <v>48</v>
      </c>
    </row>
    <row r="26" spans="1:19" x14ac:dyDescent="0.3">
      <c r="A26" t="s">
        <v>55</v>
      </c>
      <c r="B26" t="s">
        <v>22</v>
      </c>
      <c r="C26" t="s">
        <v>86</v>
      </c>
      <c r="D26">
        <v>17</v>
      </c>
      <c r="E26" s="1" t="s">
        <v>87</v>
      </c>
      <c r="F26" t="s">
        <v>25</v>
      </c>
      <c r="I26" t="s">
        <v>55</v>
      </c>
      <c r="J26" t="s">
        <v>55</v>
      </c>
      <c r="K26">
        <v>79</v>
      </c>
      <c r="L26" t="s">
        <v>27</v>
      </c>
      <c r="N26" t="s">
        <v>48</v>
      </c>
    </row>
    <row r="27" spans="1:19" x14ac:dyDescent="0.3">
      <c r="A27" t="s">
        <v>55</v>
      </c>
      <c r="B27" t="s">
        <v>22</v>
      </c>
      <c r="C27" t="s">
        <v>88</v>
      </c>
      <c r="D27">
        <v>161</v>
      </c>
      <c r="E27" s="1" t="s">
        <v>89</v>
      </c>
      <c r="F27" t="s">
        <v>25</v>
      </c>
      <c r="I27" t="s">
        <v>55</v>
      </c>
      <c r="J27" t="s">
        <v>55</v>
      </c>
      <c r="K27">
        <v>79</v>
      </c>
      <c r="L27" t="s">
        <v>27</v>
      </c>
      <c r="M27" t="s">
        <v>25</v>
      </c>
      <c r="N27" t="s">
        <v>48</v>
      </c>
    </row>
    <row r="28" spans="1:19" x14ac:dyDescent="0.3">
      <c r="A28" t="s">
        <v>133</v>
      </c>
      <c r="B28" t="s">
        <v>43</v>
      </c>
      <c r="C28" s="5" t="s">
        <v>135</v>
      </c>
      <c r="D28">
        <v>84</v>
      </c>
      <c r="E28" s="1" t="s">
        <v>134</v>
      </c>
      <c r="F28" t="s">
        <v>37</v>
      </c>
      <c r="G28" t="s">
        <v>25</v>
      </c>
      <c r="I28" t="s">
        <v>133</v>
      </c>
      <c r="J28" t="s">
        <v>133</v>
      </c>
      <c r="K28">
        <v>798</v>
      </c>
      <c r="L28" t="s">
        <v>27</v>
      </c>
      <c r="M28" t="s">
        <v>25</v>
      </c>
      <c r="N28" t="s">
        <v>30</v>
      </c>
      <c r="O28" t="s">
        <v>61</v>
      </c>
    </row>
    <row r="29" spans="1:19" x14ac:dyDescent="0.3">
      <c r="A29" t="s">
        <v>133</v>
      </c>
      <c r="B29" t="s">
        <v>43</v>
      </c>
      <c r="C29" s="5" t="s">
        <v>135</v>
      </c>
      <c r="D29">
        <v>91</v>
      </c>
      <c r="E29" s="1" t="s">
        <v>134</v>
      </c>
      <c r="F29" t="s">
        <v>37</v>
      </c>
      <c r="G29" t="s">
        <v>25</v>
      </c>
      <c r="I29" t="s">
        <v>133</v>
      </c>
      <c r="J29" t="s">
        <v>133</v>
      </c>
      <c r="K29">
        <v>798</v>
      </c>
      <c r="L29" t="s">
        <v>27</v>
      </c>
      <c r="M29" t="s">
        <v>25</v>
      </c>
      <c r="N29" t="s">
        <v>30</v>
      </c>
      <c r="O29" t="s">
        <v>61</v>
      </c>
    </row>
    <row r="30" spans="1:19" x14ac:dyDescent="0.3">
      <c r="A30" t="s">
        <v>133</v>
      </c>
      <c r="B30" t="s">
        <v>43</v>
      </c>
      <c r="C30" s="5" t="s">
        <v>135</v>
      </c>
      <c r="D30">
        <v>84</v>
      </c>
      <c r="E30" s="1" t="s">
        <v>134</v>
      </c>
      <c r="F30" t="s">
        <v>37</v>
      </c>
      <c r="G30" t="s">
        <v>25</v>
      </c>
      <c r="I30" t="s">
        <v>133</v>
      </c>
      <c r="J30" t="s">
        <v>133</v>
      </c>
      <c r="K30">
        <v>798</v>
      </c>
      <c r="L30" t="s">
        <v>27</v>
      </c>
      <c r="M30" t="s">
        <v>25</v>
      </c>
      <c r="N30" t="s">
        <v>30</v>
      </c>
      <c r="O30" t="s">
        <v>61</v>
      </c>
    </row>
    <row r="31" spans="1:19" x14ac:dyDescent="0.3">
      <c r="A31" t="s">
        <v>133</v>
      </c>
      <c r="B31" t="s">
        <v>43</v>
      </c>
      <c r="C31" t="s">
        <v>137</v>
      </c>
      <c r="D31">
        <v>65</v>
      </c>
      <c r="E31" s="1" t="s">
        <v>136</v>
      </c>
      <c r="F31" t="s">
        <v>37</v>
      </c>
      <c r="G31" t="s">
        <v>25</v>
      </c>
      <c r="I31" t="s">
        <v>133</v>
      </c>
      <c r="J31" t="s">
        <v>133</v>
      </c>
      <c r="K31">
        <v>798</v>
      </c>
      <c r="L31" t="s">
        <v>27</v>
      </c>
      <c r="M31" t="s">
        <v>25</v>
      </c>
      <c r="N31" t="s">
        <v>30</v>
      </c>
      <c r="O31" t="s">
        <v>61</v>
      </c>
    </row>
    <row r="32" spans="1:19" x14ac:dyDescent="0.3">
      <c r="A32" t="s">
        <v>133</v>
      </c>
      <c r="B32" t="s">
        <v>43</v>
      </c>
      <c r="C32" t="s">
        <v>137</v>
      </c>
      <c r="D32">
        <v>81</v>
      </c>
      <c r="E32" s="1" t="s">
        <v>136</v>
      </c>
      <c r="F32" t="s">
        <v>37</v>
      </c>
      <c r="G32" t="s">
        <v>25</v>
      </c>
      <c r="I32" t="s">
        <v>133</v>
      </c>
      <c r="J32" t="s">
        <v>133</v>
      </c>
      <c r="K32">
        <v>798</v>
      </c>
      <c r="L32" t="s">
        <v>27</v>
      </c>
      <c r="M32" t="s">
        <v>25</v>
      </c>
      <c r="N32" t="s">
        <v>30</v>
      </c>
      <c r="O32" t="s">
        <v>61</v>
      </c>
    </row>
    <row r="33" spans="1:14" x14ac:dyDescent="0.3">
      <c r="A33" t="s">
        <v>140</v>
      </c>
      <c r="B33" t="s">
        <v>43</v>
      </c>
      <c r="C33" t="s">
        <v>139</v>
      </c>
      <c r="D33">
        <v>87</v>
      </c>
      <c r="E33" s="1" t="s">
        <v>138</v>
      </c>
      <c r="F33" t="s">
        <v>25</v>
      </c>
      <c r="I33" t="s">
        <v>140</v>
      </c>
      <c r="J33" t="s">
        <v>140</v>
      </c>
      <c r="K33">
        <v>770</v>
      </c>
      <c r="L33" t="s">
        <v>27</v>
      </c>
      <c r="N33" t="s">
        <v>48</v>
      </c>
    </row>
    <row r="34" spans="1:14" x14ac:dyDescent="0.3">
      <c r="A34" t="s">
        <v>140</v>
      </c>
      <c r="B34" t="s">
        <v>43</v>
      </c>
      <c r="C34" t="s">
        <v>139</v>
      </c>
      <c r="D34">
        <v>54</v>
      </c>
      <c r="E34" s="1" t="s">
        <v>138</v>
      </c>
      <c r="F34" t="s">
        <v>25</v>
      </c>
      <c r="I34" t="s">
        <v>140</v>
      </c>
      <c r="J34" t="s">
        <v>140</v>
      </c>
      <c r="K34">
        <v>770</v>
      </c>
      <c r="L34" t="s">
        <v>27</v>
      </c>
      <c r="N34" t="s">
        <v>48</v>
      </c>
    </row>
    <row r="35" spans="1:14" x14ac:dyDescent="0.3">
      <c r="A35" t="s">
        <v>55</v>
      </c>
      <c r="B35" t="s">
        <v>43</v>
      </c>
      <c r="C35" t="s">
        <v>142</v>
      </c>
      <c r="D35">
        <v>55</v>
      </c>
      <c r="E35" s="1" t="s">
        <v>141</v>
      </c>
      <c r="F35" t="s">
        <v>25</v>
      </c>
      <c r="I35" t="s">
        <v>55</v>
      </c>
      <c r="J35" t="s">
        <v>55</v>
      </c>
      <c r="K35">
        <v>79</v>
      </c>
      <c r="L35" t="s">
        <v>27</v>
      </c>
      <c r="M35" t="s">
        <v>25</v>
      </c>
      <c r="N35" t="s">
        <v>48</v>
      </c>
    </row>
    <row r="36" spans="1:14" x14ac:dyDescent="0.3">
      <c r="A36" t="s">
        <v>143</v>
      </c>
      <c r="B36" t="s">
        <v>43</v>
      </c>
      <c r="C36" t="s">
        <v>142</v>
      </c>
      <c r="D36">
        <v>69</v>
      </c>
      <c r="E36" s="1" t="s">
        <v>141</v>
      </c>
      <c r="F36" t="s">
        <v>25</v>
      </c>
      <c r="I36" t="s">
        <v>143</v>
      </c>
      <c r="J36" t="s">
        <v>143</v>
      </c>
      <c r="K36">
        <v>79</v>
      </c>
      <c r="L36" t="s">
        <v>27</v>
      </c>
      <c r="N36" t="s">
        <v>48</v>
      </c>
    </row>
    <row r="37" spans="1:14" x14ac:dyDescent="0.3">
      <c r="A37" t="s">
        <v>55</v>
      </c>
      <c r="B37" t="s">
        <v>43</v>
      </c>
      <c r="C37" t="s">
        <v>145</v>
      </c>
      <c r="D37">
        <v>57</v>
      </c>
      <c r="E37" s="1" t="s">
        <v>144</v>
      </c>
      <c r="F37" t="s">
        <v>25</v>
      </c>
      <c r="I37" t="s">
        <v>55</v>
      </c>
      <c r="J37" t="s">
        <v>55</v>
      </c>
      <c r="K37">
        <v>79</v>
      </c>
      <c r="L37" t="s">
        <v>27</v>
      </c>
      <c r="M37" t="s">
        <v>25</v>
      </c>
      <c r="N37" t="s">
        <v>48</v>
      </c>
    </row>
    <row r="38" spans="1:14" x14ac:dyDescent="0.3">
      <c r="A38" t="s">
        <v>55</v>
      </c>
      <c r="B38" t="s">
        <v>43</v>
      </c>
      <c r="C38" t="s">
        <v>145</v>
      </c>
      <c r="D38">
        <v>75</v>
      </c>
      <c r="E38" s="1" t="s">
        <v>144</v>
      </c>
      <c r="F38" t="s">
        <v>25</v>
      </c>
      <c r="I38" t="s">
        <v>55</v>
      </c>
      <c r="J38" t="s">
        <v>55</v>
      </c>
      <c r="K38">
        <v>79</v>
      </c>
      <c r="L38" t="s">
        <v>27</v>
      </c>
      <c r="M38" t="s">
        <v>25</v>
      </c>
      <c r="N38" t="s">
        <v>48</v>
      </c>
    </row>
    <row r="39" spans="1:14" x14ac:dyDescent="0.3">
      <c r="A39" t="s">
        <v>146</v>
      </c>
      <c r="B39" t="s">
        <v>43</v>
      </c>
      <c r="C39" t="s">
        <v>149</v>
      </c>
      <c r="D39">
        <v>129</v>
      </c>
      <c r="E39" s="1" t="s">
        <v>148</v>
      </c>
      <c r="F39" t="s">
        <v>25</v>
      </c>
      <c r="I39" t="s">
        <v>146</v>
      </c>
      <c r="J39" t="s">
        <v>146</v>
      </c>
      <c r="K39">
        <v>352</v>
      </c>
      <c r="L39" t="s">
        <v>27</v>
      </c>
      <c r="N39" t="s">
        <v>34</v>
      </c>
    </row>
    <row r="40" spans="1:14" x14ac:dyDescent="0.3">
      <c r="A40" t="s">
        <v>153</v>
      </c>
      <c r="B40" t="s">
        <v>43</v>
      </c>
      <c r="C40" t="s">
        <v>155</v>
      </c>
      <c r="D40">
        <v>28</v>
      </c>
      <c r="E40" s="1" t="s">
        <v>154</v>
      </c>
      <c r="F40" t="s">
        <v>25</v>
      </c>
      <c r="I40" t="s">
        <v>153</v>
      </c>
      <c r="J40" t="s">
        <v>153</v>
      </c>
      <c r="K40">
        <v>200</v>
      </c>
      <c r="L40" t="s">
        <v>27</v>
      </c>
      <c r="N40" t="s">
        <v>48</v>
      </c>
    </row>
    <row r="41" spans="1:14" x14ac:dyDescent="0.3">
      <c r="A41" t="s">
        <v>150</v>
      </c>
      <c r="B41" t="s">
        <v>43</v>
      </c>
      <c r="C41" t="s">
        <v>152</v>
      </c>
      <c r="D41">
        <v>67</v>
      </c>
      <c r="E41" s="1" t="s">
        <v>151</v>
      </c>
      <c r="F41" t="s">
        <v>25</v>
      </c>
      <c r="I41" t="s">
        <v>150</v>
      </c>
      <c r="J41" t="s">
        <v>150</v>
      </c>
      <c r="K41">
        <v>1321</v>
      </c>
      <c r="L41" t="s">
        <v>27</v>
      </c>
      <c r="N41" t="s">
        <v>48</v>
      </c>
    </row>
    <row r="42" spans="1:14" x14ac:dyDescent="0.3">
      <c r="A42" t="s">
        <v>158</v>
      </c>
      <c r="B42" t="s">
        <v>43</v>
      </c>
      <c r="C42" t="s">
        <v>157</v>
      </c>
      <c r="D42">
        <v>19</v>
      </c>
      <c r="E42" s="1" t="s">
        <v>156</v>
      </c>
      <c r="F42" t="s">
        <v>25</v>
      </c>
      <c r="I42" t="s">
        <v>158</v>
      </c>
      <c r="J42" t="s">
        <v>158</v>
      </c>
      <c r="K42">
        <v>601</v>
      </c>
      <c r="L42" t="s">
        <v>27</v>
      </c>
      <c r="M42" t="s">
        <v>25</v>
      </c>
      <c r="N42" t="s">
        <v>48</v>
      </c>
    </row>
    <row r="43" spans="1:14" x14ac:dyDescent="0.3">
      <c r="A43" t="s">
        <v>161</v>
      </c>
      <c r="B43" t="s">
        <v>43</v>
      </c>
      <c r="C43" t="s">
        <v>160</v>
      </c>
      <c r="D43">
        <v>20</v>
      </c>
      <c r="E43" s="1" t="s">
        <v>159</v>
      </c>
      <c r="F43" t="s">
        <v>25</v>
      </c>
      <c r="I43" t="s">
        <v>161</v>
      </c>
      <c r="J43" t="s">
        <v>161</v>
      </c>
      <c r="K43">
        <v>347</v>
      </c>
      <c r="L43" t="s">
        <v>27</v>
      </c>
      <c r="N43" t="s">
        <v>48</v>
      </c>
    </row>
    <row r="44" spans="1:14" x14ac:dyDescent="0.3">
      <c r="A44" t="s">
        <v>140</v>
      </c>
      <c r="B44" t="s">
        <v>43</v>
      </c>
      <c r="C44" t="s">
        <v>163</v>
      </c>
      <c r="D44">
        <v>52</v>
      </c>
      <c r="E44" s="1" t="s">
        <v>162</v>
      </c>
      <c r="F44" t="s">
        <v>25</v>
      </c>
      <c r="I44" t="s">
        <v>140</v>
      </c>
      <c r="J44" t="s">
        <v>140</v>
      </c>
      <c r="K44">
        <v>770</v>
      </c>
      <c r="L44" t="s">
        <v>27</v>
      </c>
      <c r="N44" t="s">
        <v>48</v>
      </c>
    </row>
    <row r="45" spans="1:14" x14ac:dyDescent="0.3">
      <c r="A45" t="s">
        <v>140</v>
      </c>
      <c r="B45" t="s">
        <v>43</v>
      </c>
      <c r="C45" t="s">
        <v>164</v>
      </c>
      <c r="D45">
        <v>12</v>
      </c>
      <c r="E45" s="1" t="s">
        <v>165</v>
      </c>
      <c r="F45" t="s">
        <v>25</v>
      </c>
      <c r="I45" t="s">
        <v>140</v>
      </c>
      <c r="J45" t="s">
        <v>140</v>
      </c>
      <c r="K45">
        <v>770</v>
      </c>
      <c r="L45" t="s">
        <v>27</v>
      </c>
      <c r="N45" t="s">
        <v>48</v>
      </c>
    </row>
    <row r="46" spans="1:14" x14ac:dyDescent="0.3">
      <c r="A46" t="s">
        <v>140</v>
      </c>
      <c r="B46" t="s">
        <v>43</v>
      </c>
      <c r="C46" t="s">
        <v>166</v>
      </c>
      <c r="D46">
        <v>12</v>
      </c>
      <c r="E46" s="1" t="s">
        <v>167</v>
      </c>
      <c r="F46" t="s">
        <v>25</v>
      </c>
      <c r="I46" t="s">
        <v>140</v>
      </c>
      <c r="J46" t="s">
        <v>140</v>
      </c>
      <c r="K46">
        <v>770</v>
      </c>
      <c r="L46" t="s">
        <v>27</v>
      </c>
      <c r="N46" t="s">
        <v>48</v>
      </c>
    </row>
    <row r="47" spans="1:14" x14ac:dyDescent="0.3">
      <c r="A47" t="s">
        <v>140</v>
      </c>
      <c r="B47" t="s">
        <v>43</v>
      </c>
      <c r="C47" t="s">
        <v>169</v>
      </c>
      <c r="D47">
        <v>11</v>
      </c>
      <c r="E47" s="1" t="s">
        <v>168</v>
      </c>
      <c r="F47" t="s">
        <v>25</v>
      </c>
      <c r="I47" t="s">
        <v>140</v>
      </c>
      <c r="J47" t="s">
        <v>140</v>
      </c>
      <c r="K47">
        <v>770</v>
      </c>
      <c r="L47" t="s">
        <v>27</v>
      </c>
      <c r="N47" t="s">
        <v>48</v>
      </c>
    </row>
    <row r="48" spans="1:14" x14ac:dyDescent="0.3">
      <c r="A48" t="s">
        <v>140</v>
      </c>
      <c r="B48" t="s">
        <v>43</v>
      </c>
      <c r="C48" t="s">
        <v>171</v>
      </c>
      <c r="D48">
        <v>12</v>
      </c>
      <c r="E48" s="1" t="s">
        <v>170</v>
      </c>
      <c r="F48" t="s">
        <v>25</v>
      </c>
      <c r="I48" t="s">
        <v>140</v>
      </c>
      <c r="J48" t="s">
        <v>140</v>
      </c>
      <c r="K48">
        <v>770</v>
      </c>
      <c r="L48" t="s">
        <v>27</v>
      </c>
      <c r="N48" t="s">
        <v>48</v>
      </c>
    </row>
    <row r="49" spans="1:15" x14ac:dyDescent="0.3">
      <c r="A49" t="s">
        <v>55</v>
      </c>
      <c r="B49" t="s">
        <v>43</v>
      </c>
      <c r="C49" t="s">
        <v>172</v>
      </c>
      <c r="D49">
        <v>38</v>
      </c>
      <c r="E49" s="1" t="s">
        <v>173</v>
      </c>
      <c r="F49" t="s">
        <v>25</v>
      </c>
      <c r="I49" t="s">
        <v>55</v>
      </c>
      <c r="J49" t="s">
        <v>55</v>
      </c>
      <c r="K49">
        <v>79</v>
      </c>
      <c r="L49" t="s">
        <v>27</v>
      </c>
      <c r="M49" t="s">
        <v>25</v>
      </c>
      <c r="N49" t="s">
        <v>48</v>
      </c>
    </row>
    <row r="50" spans="1:15" x14ac:dyDescent="0.3">
      <c r="A50" t="s">
        <v>55</v>
      </c>
      <c r="B50" t="s">
        <v>43</v>
      </c>
      <c r="C50" t="s">
        <v>174</v>
      </c>
      <c r="D50">
        <v>45</v>
      </c>
      <c r="E50" s="1" t="s">
        <v>175</v>
      </c>
      <c r="F50" t="s">
        <v>25</v>
      </c>
      <c r="I50" t="s">
        <v>55</v>
      </c>
      <c r="J50" t="s">
        <v>55</v>
      </c>
      <c r="K50">
        <v>79</v>
      </c>
      <c r="L50" t="s">
        <v>27</v>
      </c>
      <c r="M50" t="s">
        <v>25</v>
      </c>
      <c r="N50" t="s">
        <v>48</v>
      </c>
    </row>
    <row r="51" spans="1:15" x14ac:dyDescent="0.3">
      <c r="A51" t="s">
        <v>55</v>
      </c>
      <c r="B51" t="s">
        <v>43</v>
      </c>
      <c r="C51" t="s">
        <v>176</v>
      </c>
      <c r="D51">
        <v>121</v>
      </c>
      <c r="E51" s="1" t="s">
        <v>177</v>
      </c>
      <c r="F51" t="s">
        <v>25</v>
      </c>
      <c r="I51" t="s">
        <v>55</v>
      </c>
      <c r="J51" t="s">
        <v>55</v>
      </c>
      <c r="K51">
        <v>79</v>
      </c>
      <c r="L51" t="s">
        <v>27</v>
      </c>
      <c r="M51" t="s">
        <v>25</v>
      </c>
      <c r="N51" t="s">
        <v>48</v>
      </c>
    </row>
    <row r="52" spans="1:15" x14ac:dyDescent="0.3">
      <c r="A52" t="s">
        <v>150</v>
      </c>
      <c r="B52" t="s">
        <v>43</v>
      </c>
      <c r="C52" t="s">
        <v>152</v>
      </c>
      <c r="D52">
        <v>67</v>
      </c>
      <c r="E52" s="1" t="s">
        <v>151</v>
      </c>
      <c r="F52" t="s">
        <v>25</v>
      </c>
      <c r="I52" t="s">
        <v>150</v>
      </c>
      <c r="J52" t="s">
        <v>150</v>
      </c>
      <c r="K52">
        <v>1321</v>
      </c>
      <c r="L52" t="s">
        <v>27</v>
      </c>
      <c r="N52" t="s">
        <v>48</v>
      </c>
    </row>
    <row r="53" spans="1:15" x14ac:dyDescent="0.3">
      <c r="A53" t="s">
        <v>140</v>
      </c>
      <c r="B53" t="s">
        <v>43</v>
      </c>
      <c r="C53" t="s">
        <v>57</v>
      </c>
      <c r="D53">
        <v>17</v>
      </c>
      <c r="E53" s="1" t="s">
        <v>58</v>
      </c>
      <c r="F53" t="s">
        <v>25</v>
      </c>
      <c r="I53" t="s">
        <v>140</v>
      </c>
      <c r="J53" t="s">
        <v>140</v>
      </c>
      <c r="K53">
        <v>770</v>
      </c>
      <c r="L53" t="s">
        <v>27</v>
      </c>
      <c r="N53" t="s">
        <v>48</v>
      </c>
    </row>
    <row r="54" spans="1:15" x14ac:dyDescent="0.3">
      <c r="A54" t="s">
        <v>133</v>
      </c>
      <c r="B54" t="s">
        <v>46</v>
      </c>
      <c r="C54" t="s">
        <v>178</v>
      </c>
      <c r="D54">
        <v>19</v>
      </c>
      <c r="E54" s="1" t="s">
        <v>179</v>
      </c>
      <c r="F54" t="s">
        <v>37</v>
      </c>
      <c r="G54" t="s">
        <v>25</v>
      </c>
      <c r="I54" t="s">
        <v>133</v>
      </c>
      <c r="J54" t="s">
        <v>133</v>
      </c>
      <c r="K54">
        <v>798</v>
      </c>
      <c r="L54" t="s">
        <v>27</v>
      </c>
      <c r="M54" t="s">
        <v>25</v>
      </c>
      <c r="N54" t="s">
        <v>180</v>
      </c>
      <c r="O54" t="s">
        <v>181</v>
      </c>
    </row>
    <row r="55" spans="1:15" x14ac:dyDescent="0.3">
      <c r="A55" t="s">
        <v>133</v>
      </c>
      <c r="B55" t="s">
        <v>46</v>
      </c>
      <c r="C55" s="6" t="s">
        <v>182</v>
      </c>
      <c r="D55">
        <v>20</v>
      </c>
      <c r="E55" s="1" t="s">
        <v>183</v>
      </c>
      <c r="F55" t="s">
        <v>37</v>
      </c>
      <c r="G55" t="s">
        <v>25</v>
      </c>
      <c r="I55" t="s">
        <v>133</v>
      </c>
      <c r="J55" t="s">
        <v>133</v>
      </c>
      <c r="K55">
        <v>798</v>
      </c>
      <c r="L55" t="s">
        <v>27</v>
      </c>
      <c r="M55" t="s">
        <v>25</v>
      </c>
      <c r="N55" t="s">
        <v>180</v>
      </c>
      <c r="O55" t="s">
        <v>181</v>
      </c>
    </row>
    <row r="56" spans="1:15" x14ac:dyDescent="0.3">
      <c r="A56" t="s">
        <v>133</v>
      </c>
      <c r="B56" t="s">
        <v>46</v>
      </c>
      <c r="C56" t="s">
        <v>184</v>
      </c>
      <c r="D56">
        <v>21</v>
      </c>
      <c r="E56" s="1" t="s">
        <v>184</v>
      </c>
      <c r="F56" t="s">
        <v>37</v>
      </c>
      <c r="G56" t="s">
        <v>25</v>
      </c>
      <c r="I56" t="s">
        <v>133</v>
      </c>
      <c r="J56" t="s">
        <v>133</v>
      </c>
      <c r="K56">
        <v>798</v>
      </c>
      <c r="L56" t="s">
        <v>27</v>
      </c>
      <c r="M56" t="s">
        <v>25</v>
      </c>
      <c r="N56" t="s">
        <v>180</v>
      </c>
      <c r="O56" t="s">
        <v>181</v>
      </c>
    </row>
    <row r="57" spans="1:15" x14ac:dyDescent="0.3">
      <c r="A57" t="s">
        <v>133</v>
      </c>
      <c r="B57" t="s">
        <v>46</v>
      </c>
      <c r="C57" t="s">
        <v>185</v>
      </c>
      <c r="D57">
        <v>20</v>
      </c>
      <c r="E57" s="1" t="s">
        <v>185</v>
      </c>
      <c r="F57" t="s">
        <v>37</v>
      </c>
      <c r="G57" t="s">
        <v>25</v>
      </c>
      <c r="I57" t="s">
        <v>133</v>
      </c>
      <c r="J57" t="s">
        <v>133</v>
      </c>
      <c r="K57">
        <v>798</v>
      </c>
      <c r="L57" t="s">
        <v>27</v>
      </c>
      <c r="M57" t="s">
        <v>25</v>
      </c>
      <c r="N57" t="s">
        <v>180</v>
      </c>
      <c r="O57" t="s">
        <v>181</v>
      </c>
    </row>
    <row r="58" spans="1:15" x14ac:dyDescent="0.3">
      <c r="A58" t="s">
        <v>133</v>
      </c>
      <c r="B58" t="s">
        <v>46</v>
      </c>
      <c r="C58" t="s">
        <v>186</v>
      </c>
      <c r="D58">
        <v>4</v>
      </c>
      <c r="E58" s="1" t="s">
        <v>186</v>
      </c>
      <c r="F58" t="s">
        <v>37</v>
      </c>
      <c r="G58" t="s">
        <v>25</v>
      </c>
      <c r="I58" t="s">
        <v>133</v>
      </c>
      <c r="J58" t="s">
        <v>133</v>
      </c>
      <c r="K58">
        <v>798</v>
      </c>
      <c r="L58" t="s">
        <v>27</v>
      </c>
      <c r="N58" t="s">
        <v>180</v>
      </c>
      <c r="O58" t="s">
        <v>181</v>
      </c>
    </row>
    <row r="59" spans="1:15" x14ac:dyDescent="0.3">
      <c r="A59" t="s">
        <v>133</v>
      </c>
      <c r="B59" t="s">
        <v>46</v>
      </c>
      <c r="C59" t="s">
        <v>186</v>
      </c>
      <c r="D59">
        <v>82</v>
      </c>
      <c r="E59" s="1" t="s">
        <v>186</v>
      </c>
      <c r="F59" t="s">
        <v>37</v>
      </c>
      <c r="G59" t="s">
        <v>25</v>
      </c>
      <c r="I59" t="s">
        <v>133</v>
      </c>
      <c r="J59" t="s">
        <v>133</v>
      </c>
      <c r="K59">
        <v>798</v>
      </c>
      <c r="L59" t="s">
        <v>27</v>
      </c>
      <c r="N59" t="s">
        <v>180</v>
      </c>
      <c r="O59" t="s">
        <v>181</v>
      </c>
    </row>
    <row r="60" spans="1:15" x14ac:dyDescent="0.3">
      <c r="A60" t="s">
        <v>133</v>
      </c>
      <c r="B60" t="s">
        <v>46</v>
      </c>
      <c r="C60" t="s">
        <v>187</v>
      </c>
      <c r="D60">
        <v>24</v>
      </c>
      <c r="E60" s="1" t="s">
        <v>187</v>
      </c>
      <c r="F60" t="s">
        <v>37</v>
      </c>
      <c r="G60" t="s">
        <v>25</v>
      </c>
      <c r="I60" t="s">
        <v>133</v>
      </c>
      <c r="J60" t="s">
        <v>133</v>
      </c>
      <c r="K60">
        <v>798</v>
      </c>
      <c r="L60" t="s">
        <v>27</v>
      </c>
      <c r="N60" t="s">
        <v>180</v>
      </c>
      <c r="O60" t="s">
        <v>181</v>
      </c>
    </row>
    <row r="61" spans="1:15" x14ac:dyDescent="0.3">
      <c r="A61" t="s">
        <v>133</v>
      </c>
      <c r="B61" t="s">
        <v>46</v>
      </c>
      <c r="C61" t="s">
        <v>188</v>
      </c>
      <c r="D61">
        <v>6</v>
      </c>
      <c r="E61" s="1" t="s">
        <v>188</v>
      </c>
      <c r="F61" t="s">
        <v>37</v>
      </c>
      <c r="G61" t="s">
        <v>25</v>
      </c>
      <c r="I61" t="s">
        <v>133</v>
      </c>
      <c r="J61" t="s">
        <v>133</v>
      </c>
      <c r="K61">
        <v>798</v>
      </c>
      <c r="L61" t="s">
        <v>27</v>
      </c>
      <c r="N61" t="s">
        <v>180</v>
      </c>
      <c r="O61" t="s">
        <v>181</v>
      </c>
    </row>
    <row r="62" spans="1:15" x14ac:dyDescent="0.3">
      <c r="A62" t="s">
        <v>133</v>
      </c>
      <c r="B62" t="s">
        <v>46</v>
      </c>
      <c r="C62" t="s">
        <v>188</v>
      </c>
      <c r="D62">
        <v>20</v>
      </c>
      <c r="E62" s="1" t="s">
        <v>188</v>
      </c>
      <c r="F62" t="s">
        <v>37</v>
      </c>
      <c r="G62" t="s">
        <v>25</v>
      </c>
      <c r="I62" t="s">
        <v>133</v>
      </c>
      <c r="J62" t="s">
        <v>133</v>
      </c>
      <c r="K62">
        <v>798</v>
      </c>
      <c r="L62" t="s">
        <v>27</v>
      </c>
      <c r="N62" t="s">
        <v>180</v>
      </c>
      <c r="O62" t="s">
        <v>181</v>
      </c>
    </row>
    <row r="63" spans="1:15" x14ac:dyDescent="0.3">
      <c r="A63" t="s">
        <v>133</v>
      </c>
      <c r="B63" t="s">
        <v>46</v>
      </c>
      <c r="C63" t="s">
        <v>189</v>
      </c>
      <c r="D63">
        <v>83</v>
      </c>
      <c r="E63" s="1" t="s">
        <v>189</v>
      </c>
      <c r="F63" t="s">
        <v>37</v>
      </c>
      <c r="G63" t="s">
        <v>25</v>
      </c>
      <c r="I63" t="s">
        <v>133</v>
      </c>
      <c r="J63" t="s">
        <v>133</v>
      </c>
      <c r="K63">
        <v>798</v>
      </c>
      <c r="L63" t="s">
        <v>27</v>
      </c>
      <c r="N63" t="s">
        <v>180</v>
      </c>
      <c r="O63" t="s">
        <v>181</v>
      </c>
    </row>
    <row r="64" spans="1:15" x14ac:dyDescent="0.3">
      <c r="A64" t="s">
        <v>133</v>
      </c>
      <c r="B64" t="s">
        <v>46</v>
      </c>
      <c r="C64" t="s">
        <v>189</v>
      </c>
      <c r="D64">
        <v>56</v>
      </c>
      <c r="E64" s="1" t="s">
        <v>189</v>
      </c>
      <c r="F64" t="s">
        <v>37</v>
      </c>
      <c r="G64" t="s">
        <v>25</v>
      </c>
      <c r="I64" t="s">
        <v>133</v>
      </c>
      <c r="J64" t="s">
        <v>133</v>
      </c>
      <c r="K64">
        <v>798</v>
      </c>
      <c r="L64" t="s">
        <v>27</v>
      </c>
      <c r="N64" t="s">
        <v>180</v>
      </c>
      <c r="O64" t="s">
        <v>181</v>
      </c>
    </row>
    <row r="65" spans="1:15" x14ac:dyDescent="0.3">
      <c r="A65" t="s">
        <v>133</v>
      </c>
      <c r="B65" t="s">
        <v>46</v>
      </c>
      <c r="C65" t="s">
        <v>190</v>
      </c>
      <c r="D65">
        <v>3</v>
      </c>
      <c r="E65" s="1" t="s">
        <v>190</v>
      </c>
      <c r="F65" t="s">
        <v>37</v>
      </c>
      <c r="G65" t="s">
        <v>25</v>
      </c>
      <c r="I65" t="s">
        <v>133</v>
      </c>
      <c r="J65" t="s">
        <v>133</v>
      </c>
      <c r="K65">
        <v>798</v>
      </c>
      <c r="L65" t="s">
        <v>27</v>
      </c>
      <c r="M65" t="s">
        <v>25</v>
      </c>
      <c r="N65" t="s">
        <v>180</v>
      </c>
      <c r="O65" t="s">
        <v>181</v>
      </c>
    </row>
    <row r="66" spans="1:15" x14ac:dyDescent="0.3">
      <c r="A66" t="s">
        <v>133</v>
      </c>
      <c r="B66" t="s">
        <v>46</v>
      </c>
      <c r="C66" t="s">
        <v>191</v>
      </c>
      <c r="D66">
        <v>21</v>
      </c>
      <c r="E66" s="1" t="s">
        <v>192</v>
      </c>
      <c r="F66" t="s">
        <v>37</v>
      </c>
      <c r="G66" t="s">
        <v>25</v>
      </c>
      <c r="I66" t="s">
        <v>133</v>
      </c>
      <c r="J66" t="s">
        <v>133</v>
      </c>
      <c r="K66">
        <v>798</v>
      </c>
      <c r="L66" t="s">
        <v>27</v>
      </c>
      <c r="M66" t="s">
        <v>25</v>
      </c>
      <c r="N66" t="s">
        <v>180</v>
      </c>
      <c r="O66" t="s">
        <v>181</v>
      </c>
    </row>
    <row r="67" spans="1:15" x14ac:dyDescent="0.3">
      <c r="A67" t="s">
        <v>133</v>
      </c>
      <c r="B67" t="s">
        <v>46</v>
      </c>
      <c r="C67" t="s">
        <v>193</v>
      </c>
      <c r="D67">
        <v>4</v>
      </c>
      <c r="E67" s="1" t="s">
        <v>193</v>
      </c>
      <c r="F67" t="s">
        <v>37</v>
      </c>
      <c r="G67" t="s">
        <v>25</v>
      </c>
      <c r="I67" t="s">
        <v>133</v>
      </c>
      <c r="J67" t="s">
        <v>133</v>
      </c>
      <c r="K67">
        <v>798</v>
      </c>
      <c r="L67" t="s">
        <v>27</v>
      </c>
      <c r="M67" t="s">
        <v>25</v>
      </c>
      <c r="N67" t="s">
        <v>180</v>
      </c>
      <c r="O67" t="s">
        <v>181</v>
      </c>
    </row>
    <row r="68" spans="1:15" x14ac:dyDescent="0.3">
      <c r="A68" t="s">
        <v>133</v>
      </c>
      <c r="B68" t="s">
        <v>46</v>
      </c>
      <c r="C68" t="s">
        <v>194</v>
      </c>
      <c r="D68">
        <v>3</v>
      </c>
      <c r="E68" s="1" t="s">
        <v>194</v>
      </c>
      <c r="F68" t="s">
        <v>37</v>
      </c>
      <c r="G68" t="s">
        <v>25</v>
      </c>
      <c r="I68" t="s">
        <v>133</v>
      </c>
      <c r="J68" t="s">
        <v>133</v>
      </c>
      <c r="K68">
        <v>798</v>
      </c>
      <c r="L68" t="s">
        <v>27</v>
      </c>
      <c r="M68" t="s">
        <v>25</v>
      </c>
      <c r="N68" t="s">
        <v>180</v>
      </c>
      <c r="O68" t="s">
        <v>181</v>
      </c>
    </row>
    <row r="69" spans="1:15" x14ac:dyDescent="0.3">
      <c r="A69" t="s">
        <v>133</v>
      </c>
      <c r="B69" t="s">
        <v>46</v>
      </c>
      <c r="C69" t="s">
        <v>195</v>
      </c>
      <c r="D69">
        <v>11</v>
      </c>
      <c r="E69" s="1" t="s">
        <v>195</v>
      </c>
      <c r="F69" t="s">
        <v>37</v>
      </c>
      <c r="G69" t="s">
        <v>25</v>
      </c>
      <c r="I69" t="s">
        <v>133</v>
      </c>
      <c r="J69" t="s">
        <v>133</v>
      </c>
      <c r="K69">
        <v>798</v>
      </c>
      <c r="L69" t="s">
        <v>27</v>
      </c>
      <c r="N69" t="s">
        <v>180</v>
      </c>
      <c r="O69" t="s">
        <v>181</v>
      </c>
    </row>
    <row r="70" spans="1:15" x14ac:dyDescent="0.3">
      <c r="A70" t="s">
        <v>133</v>
      </c>
      <c r="B70" t="s">
        <v>46</v>
      </c>
      <c r="C70" t="s">
        <v>195</v>
      </c>
      <c r="D70">
        <v>47</v>
      </c>
      <c r="E70" s="1" t="s">
        <v>195</v>
      </c>
      <c r="F70" t="s">
        <v>37</v>
      </c>
      <c r="G70" t="s">
        <v>25</v>
      </c>
      <c r="I70" t="s">
        <v>133</v>
      </c>
      <c r="J70" t="s">
        <v>133</v>
      </c>
      <c r="K70">
        <v>798</v>
      </c>
      <c r="L70" t="s">
        <v>27</v>
      </c>
      <c r="N70" t="s">
        <v>180</v>
      </c>
      <c r="O70" t="s">
        <v>181</v>
      </c>
    </row>
    <row r="71" spans="1:15" x14ac:dyDescent="0.3">
      <c r="A71" t="s">
        <v>133</v>
      </c>
      <c r="B71" t="s">
        <v>46</v>
      </c>
      <c r="C71" t="s">
        <v>196</v>
      </c>
      <c r="D71">
        <v>5</v>
      </c>
      <c r="E71" s="1" t="s">
        <v>196</v>
      </c>
      <c r="F71" t="s">
        <v>37</v>
      </c>
      <c r="G71" t="s">
        <v>25</v>
      </c>
      <c r="I71" t="s">
        <v>133</v>
      </c>
      <c r="J71" t="s">
        <v>133</v>
      </c>
      <c r="K71">
        <v>798</v>
      </c>
      <c r="L71" t="s">
        <v>27</v>
      </c>
      <c r="N71" t="s">
        <v>180</v>
      </c>
      <c r="O71" t="s">
        <v>181</v>
      </c>
    </row>
    <row r="72" spans="1:15" x14ac:dyDescent="0.3">
      <c r="A72" t="s">
        <v>133</v>
      </c>
      <c r="B72" t="s">
        <v>46</v>
      </c>
      <c r="C72" t="s">
        <v>197</v>
      </c>
      <c r="D72">
        <v>3</v>
      </c>
      <c r="E72" s="1" t="s">
        <v>197</v>
      </c>
      <c r="F72" t="s">
        <v>37</v>
      </c>
      <c r="G72" t="s">
        <v>25</v>
      </c>
      <c r="I72" t="s">
        <v>133</v>
      </c>
      <c r="J72" t="s">
        <v>133</v>
      </c>
      <c r="K72">
        <v>798</v>
      </c>
      <c r="L72" t="s">
        <v>27</v>
      </c>
      <c r="M72" t="s">
        <v>25</v>
      </c>
      <c r="N72" t="s">
        <v>180</v>
      </c>
      <c r="O72" t="s">
        <v>181</v>
      </c>
    </row>
    <row r="73" spans="1:15" x14ac:dyDescent="0.3">
      <c r="A73" t="s">
        <v>133</v>
      </c>
      <c r="B73" t="s">
        <v>46</v>
      </c>
      <c r="C73" t="s">
        <v>198</v>
      </c>
      <c r="D73">
        <v>20</v>
      </c>
      <c r="E73" s="1" t="s">
        <v>198</v>
      </c>
      <c r="F73" t="s">
        <v>37</v>
      </c>
      <c r="G73" t="s">
        <v>25</v>
      </c>
      <c r="I73" t="s">
        <v>133</v>
      </c>
      <c r="J73" t="s">
        <v>133</v>
      </c>
      <c r="K73">
        <v>798</v>
      </c>
      <c r="L73" t="s">
        <v>27</v>
      </c>
      <c r="M73" t="s">
        <v>25</v>
      </c>
      <c r="N73" t="s">
        <v>180</v>
      </c>
      <c r="O73" t="s">
        <v>181</v>
      </c>
    </row>
    <row r="74" spans="1:15" x14ac:dyDescent="0.3">
      <c r="A74" t="s">
        <v>133</v>
      </c>
      <c r="B74" t="s">
        <v>46</v>
      </c>
      <c r="C74" t="s">
        <v>198</v>
      </c>
      <c r="D74">
        <v>29</v>
      </c>
      <c r="E74" s="1" t="s">
        <v>198</v>
      </c>
      <c r="F74" t="s">
        <v>37</v>
      </c>
      <c r="G74" t="s">
        <v>25</v>
      </c>
      <c r="I74" t="s">
        <v>133</v>
      </c>
      <c r="J74" t="s">
        <v>133</v>
      </c>
      <c r="K74">
        <v>798</v>
      </c>
      <c r="L74" t="s">
        <v>27</v>
      </c>
      <c r="M74" t="s">
        <v>25</v>
      </c>
      <c r="N74" t="s">
        <v>180</v>
      </c>
      <c r="O74" t="s">
        <v>181</v>
      </c>
    </row>
    <row r="75" spans="1:15" x14ac:dyDescent="0.3">
      <c r="A75" t="s">
        <v>133</v>
      </c>
      <c r="B75" t="s">
        <v>46</v>
      </c>
      <c r="C75" t="s">
        <v>198</v>
      </c>
      <c r="D75">
        <v>47</v>
      </c>
      <c r="E75" s="1" t="s">
        <v>198</v>
      </c>
      <c r="F75" t="s">
        <v>37</v>
      </c>
      <c r="G75" t="s">
        <v>25</v>
      </c>
      <c r="I75" t="s">
        <v>133</v>
      </c>
      <c r="J75" t="s">
        <v>133</v>
      </c>
      <c r="K75">
        <v>798</v>
      </c>
      <c r="L75" t="s">
        <v>27</v>
      </c>
      <c r="M75" t="s">
        <v>25</v>
      </c>
      <c r="N75" t="s">
        <v>180</v>
      </c>
      <c r="O75" t="s">
        <v>181</v>
      </c>
    </row>
    <row r="76" spans="1:15" x14ac:dyDescent="0.3">
      <c r="A76" t="s">
        <v>133</v>
      </c>
      <c r="B76" t="s">
        <v>46</v>
      </c>
      <c r="C76" t="s">
        <v>198</v>
      </c>
      <c r="D76">
        <v>93</v>
      </c>
      <c r="E76" s="1" t="s">
        <v>198</v>
      </c>
      <c r="F76" t="s">
        <v>37</v>
      </c>
      <c r="G76" t="s">
        <v>25</v>
      </c>
      <c r="I76" t="s">
        <v>133</v>
      </c>
      <c r="J76" t="s">
        <v>133</v>
      </c>
      <c r="K76">
        <v>798</v>
      </c>
      <c r="L76" t="s">
        <v>27</v>
      </c>
      <c r="N76" t="s">
        <v>180</v>
      </c>
      <c r="O76" t="s">
        <v>181</v>
      </c>
    </row>
    <row r="77" spans="1:15" x14ac:dyDescent="0.3">
      <c r="A77" t="s">
        <v>133</v>
      </c>
      <c r="B77" t="s">
        <v>46</v>
      </c>
      <c r="C77" t="s">
        <v>199</v>
      </c>
      <c r="D77">
        <v>6</v>
      </c>
      <c r="E77" s="1" t="s">
        <v>199</v>
      </c>
      <c r="F77" t="s">
        <v>37</v>
      </c>
      <c r="G77" t="s">
        <v>25</v>
      </c>
      <c r="I77" t="s">
        <v>133</v>
      </c>
      <c r="J77" t="s">
        <v>133</v>
      </c>
      <c r="K77">
        <v>798</v>
      </c>
      <c r="L77" t="s">
        <v>27</v>
      </c>
      <c r="N77" t="s">
        <v>180</v>
      </c>
      <c r="O77" t="s">
        <v>181</v>
      </c>
    </row>
    <row r="78" spans="1:15" x14ac:dyDescent="0.3">
      <c r="A78" t="s">
        <v>133</v>
      </c>
      <c r="B78" t="s">
        <v>46</v>
      </c>
      <c r="C78" t="s">
        <v>199</v>
      </c>
      <c r="D78">
        <v>25</v>
      </c>
      <c r="E78" s="1" t="s">
        <v>199</v>
      </c>
      <c r="F78" t="s">
        <v>37</v>
      </c>
      <c r="G78" t="s">
        <v>25</v>
      </c>
      <c r="I78" t="s">
        <v>133</v>
      </c>
      <c r="J78" t="s">
        <v>133</v>
      </c>
      <c r="K78">
        <v>798</v>
      </c>
      <c r="L78" t="s">
        <v>27</v>
      </c>
      <c r="N78" t="s">
        <v>180</v>
      </c>
      <c r="O78" t="s">
        <v>181</v>
      </c>
    </row>
    <row r="79" spans="1:15" x14ac:dyDescent="0.3">
      <c r="A79" t="s">
        <v>133</v>
      </c>
      <c r="B79" t="s">
        <v>46</v>
      </c>
      <c r="C79" t="s">
        <v>199</v>
      </c>
      <c r="D79">
        <v>31</v>
      </c>
      <c r="E79" s="1" t="s">
        <v>199</v>
      </c>
      <c r="F79" t="s">
        <v>37</v>
      </c>
      <c r="G79" t="s">
        <v>25</v>
      </c>
      <c r="I79" t="s">
        <v>133</v>
      </c>
      <c r="J79" t="s">
        <v>133</v>
      </c>
      <c r="K79">
        <v>798</v>
      </c>
      <c r="L79" t="s">
        <v>27</v>
      </c>
      <c r="N79" t="s">
        <v>180</v>
      </c>
      <c r="O79" t="s">
        <v>181</v>
      </c>
    </row>
    <row r="80" spans="1:15" x14ac:dyDescent="0.3">
      <c r="A80" t="s">
        <v>133</v>
      </c>
      <c r="B80" t="s">
        <v>46</v>
      </c>
      <c r="C80" t="s">
        <v>200</v>
      </c>
      <c r="D80">
        <v>4</v>
      </c>
      <c r="E80" s="1" t="s">
        <v>200</v>
      </c>
      <c r="F80" t="s">
        <v>37</v>
      </c>
      <c r="G80" t="s">
        <v>25</v>
      </c>
      <c r="I80" t="s">
        <v>133</v>
      </c>
      <c r="J80" t="s">
        <v>133</v>
      </c>
      <c r="K80">
        <v>798</v>
      </c>
      <c r="L80" t="s">
        <v>27</v>
      </c>
      <c r="M80" t="s">
        <v>25</v>
      </c>
      <c r="N80" t="s">
        <v>180</v>
      </c>
      <c r="O80" t="s">
        <v>181</v>
      </c>
    </row>
    <row r="81" spans="1:15" x14ac:dyDescent="0.3">
      <c r="A81" t="s">
        <v>133</v>
      </c>
      <c r="B81" t="s">
        <v>46</v>
      </c>
      <c r="C81" t="s">
        <v>200</v>
      </c>
      <c r="D81">
        <v>76</v>
      </c>
      <c r="E81" s="1" t="s">
        <v>200</v>
      </c>
      <c r="F81" t="s">
        <v>37</v>
      </c>
      <c r="G81" t="s">
        <v>25</v>
      </c>
      <c r="I81" t="s">
        <v>133</v>
      </c>
      <c r="J81" t="s">
        <v>133</v>
      </c>
      <c r="K81">
        <v>798</v>
      </c>
      <c r="L81" t="s">
        <v>27</v>
      </c>
      <c r="M81" t="s">
        <v>25</v>
      </c>
      <c r="N81" t="s">
        <v>180</v>
      </c>
      <c r="O81" t="s">
        <v>181</v>
      </c>
    </row>
    <row r="82" spans="1:15" x14ac:dyDescent="0.3">
      <c r="A82" t="s">
        <v>133</v>
      </c>
      <c r="B82" t="s">
        <v>46</v>
      </c>
      <c r="C82" t="s">
        <v>201</v>
      </c>
      <c r="D82">
        <v>84</v>
      </c>
      <c r="E82" s="1" t="s">
        <v>201</v>
      </c>
      <c r="F82" t="s">
        <v>37</v>
      </c>
      <c r="G82" t="s">
        <v>25</v>
      </c>
      <c r="I82" t="s">
        <v>133</v>
      </c>
      <c r="J82" t="s">
        <v>133</v>
      </c>
      <c r="K82">
        <v>798</v>
      </c>
      <c r="L82" t="s">
        <v>27</v>
      </c>
      <c r="M82" t="s">
        <v>25</v>
      </c>
      <c r="N82" t="s">
        <v>180</v>
      </c>
      <c r="O82" t="s">
        <v>181</v>
      </c>
    </row>
    <row r="83" spans="1:15" x14ac:dyDescent="0.3">
      <c r="A83" t="s">
        <v>133</v>
      </c>
      <c r="B83" t="s">
        <v>46</v>
      </c>
      <c r="C83" t="s">
        <v>201</v>
      </c>
      <c r="D83">
        <v>10</v>
      </c>
      <c r="E83" s="1" t="s">
        <v>201</v>
      </c>
      <c r="F83" t="s">
        <v>37</v>
      </c>
      <c r="G83" t="s">
        <v>25</v>
      </c>
      <c r="I83" t="s">
        <v>133</v>
      </c>
      <c r="J83" t="s">
        <v>133</v>
      </c>
      <c r="K83">
        <v>798</v>
      </c>
      <c r="L83" t="s">
        <v>27</v>
      </c>
      <c r="M83" t="s">
        <v>25</v>
      </c>
      <c r="N83" t="s">
        <v>180</v>
      </c>
      <c r="O83" t="s">
        <v>181</v>
      </c>
    </row>
    <row r="84" spans="1:15" x14ac:dyDescent="0.3">
      <c r="A84" t="s">
        <v>133</v>
      </c>
      <c r="B84" t="s">
        <v>46</v>
      </c>
      <c r="C84" t="s">
        <v>202</v>
      </c>
      <c r="D84">
        <v>76</v>
      </c>
      <c r="E84" s="1" t="s">
        <v>202</v>
      </c>
      <c r="F84" t="s">
        <v>37</v>
      </c>
      <c r="G84" t="s">
        <v>25</v>
      </c>
      <c r="I84" t="s">
        <v>133</v>
      </c>
      <c r="J84" t="s">
        <v>133</v>
      </c>
      <c r="K84">
        <v>798</v>
      </c>
      <c r="L84" t="s">
        <v>27</v>
      </c>
      <c r="N84" t="s">
        <v>180</v>
      </c>
      <c r="O84" t="s">
        <v>181</v>
      </c>
    </row>
    <row r="85" spans="1:15" x14ac:dyDescent="0.3">
      <c r="A85" t="s">
        <v>133</v>
      </c>
      <c r="B85" t="s">
        <v>46</v>
      </c>
      <c r="C85" t="s">
        <v>202</v>
      </c>
      <c r="D85">
        <v>120</v>
      </c>
      <c r="E85" s="1" t="s">
        <v>202</v>
      </c>
      <c r="F85" t="s">
        <v>37</v>
      </c>
      <c r="G85" t="s">
        <v>25</v>
      </c>
      <c r="I85" t="s">
        <v>133</v>
      </c>
      <c r="J85" t="s">
        <v>133</v>
      </c>
      <c r="K85">
        <v>798</v>
      </c>
      <c r="L85" t="s">
        <v>27</v>
      </c>
      <c r="N85" t="s">
        <v>180</v>
      </c>
      <c r="O85" t="s">
        <v>181</v>
      </c>
    </row>
    <row r="86" spans="1:15" x14ac:dyDescent="0.3">
      <c r="A86" t="s">
        <v>133</v>
      </c>
      <c r="B86" t="s">
        <v>46</v>
      </c>
      <c r="C86" t="s">
        <v>202</v>
      </c>
      <c r="D86">
        <v>8</v>
      </c>
      <c r="E86" s="1" t="s">
        <v>202</v>
      </c>
      <c r="F86" t="s">
        <v>37</v>
      </c>
      <c r="G86" t="s">
        <v>25</v>
      </c>
      <c r="I86" t="s">
        <v>133</v>
      </c>
      <c r="J86" t="s">
        <v>133</v>
      </c>
      <c r="K86">
        <v>798</v>
      </c>
      <c r="L86" t="s">
        <v>27</v>
      </c>
      <c r="M86" t="s">
        <v>25</v>
      </c>
      <c r="N86" t="s">
        <v>180</v>
      </c>
      <c r="O86" t="s">
        <v>181</v>
      </c>
    </row>
    <row r="87" spans="1:15" x14ac:dyDescent="0.3">
      <c r="A87" t="s">
        <v>133</v>
      </c>
      <c r="B87" t="s">
        <v>46</v>
      </c>
      <c r="C87" t="s">
        <v>202</v>
      </c>
      <c r="D87">
        <v>53</v>
      </c>
      <c r="E87" s="1" t="s">
        <v>202</v>
      </c>
      <c r="F87" t="s">
        <v>37</v>
      </c>
      <c r="G87" t="s">
        <v>25</v>
      </c>
      <c r="I87" t="s">
        <v>133</v>
      </c>
      <c r="J87" t="s">
        <v>133</v>
      </c>
      <c r="K87">
        <v>798</v>
      </c>
      <c r="L87" t="s">
        <v>27</v>
      </c>
      <c r="M87" t="s">
        <v>25</v>
      </c>
      <c r="N87" t="s">
        <v>180</v>
      </c>
      <c r="O87" t="s">
        <v>181</v>
      </c>
    </row>
    <row r="88" spans="1:15" x14ac:dyDescent="0.3">
      <c r="A88" t="s">
        <v>133</v>
      </c>
      <c r="B88" t="s">
        <v>46</v>
      </c>
      <c r="C88" t="s">
        <v>203</v>
      </c>
      <c r="D88">
        <v>6</v>
      </c>
      <c r="E88" s="1" t="s">
        <v>203</v>
      </c>
      <c r="F88" t="s">
        <v>37</v>
      </c>
      <c r="G88" t="s">
        <v>25</v>
      </c>
      <c r="I88" t="s">
        <v>133</v>
      </c>
      <c r="J88" t="s">
        <v>133</v>
      </c>
      <c r="K88">
        <v>798</v>
      </c>
      <c r="L88" t="s">
        <v>27</v>
      </c>
      <c r="M88" t="s">
        <v>25</v>
      </c>
      <c r="N88" t="s">
        <v>180</v>
      </c>
      <c r="O88" t="s">
        <v>181</v>
      </c>
    </row>
    <row r="89" spans="1:15" x14ac:dyDescent="0.3">
      <c r="A89" t="s">
        <v>133</v>
      </c>
      <c r="B89" t="s">
        <v>46</v>
      </c>
      <c r="C89" t="s">
        <v>203</v>
      </c>
      <c r="D89">
        <v>37</v>
      </c>
      <c r="E89" s="1" t="s">
        <v>203</v>
      </c>
      <c r="F89" t="s">
        <v>37</v>
      </c>
      <c r="G89" t="s">
        <v>25</v>
      </c>
      <c r="I89" t="s">
        <v>133</v>
      </c>
      <c r="J89" t="s">
        <v>133</v>
      </c>
      <c r="K89">
        <v>798</v>
      </c>
      <c r="L89" t="s">
        <v>27</v>
      </c>
      <c r="M89" t="s">
        <v>25</v>
      </c>
      <c r="N89" t="s">
        <v>180</v>
      </c>
      <c r="O89" t="s">
        <v>181</v>
      </c>
    </row>
    <row r="90" spans="1:15" x14ac:dyDescent="0.3">
      <c r="A90" t="s">
        <v>133</v>
      </c>
      <c r="B90" t="s">
        <v>46</v>
      </c>
      <c r="C90" t="s">
        <v>204</v>
      </c>
      <c r="D90">
        <v>5</v>
      </c>
      <c r="E90" s="1" t="s">
        <v>204</v>
      </c>
      <c r="F90" t="s">
        <v>37</v>
      </c>
      <c r="G90" t="s">
        <v>25</v>
      </c>
      <c r="I90" t="s">
        <v>133</v>
      </c>
      <c r="J90" t="s">
        <v>133</v>
      </c>
      <c r="K90">
        <v>798</v>
      </c>
      <c r="L90" t="s">
        <v>27</v>
      </c>
      <c r="M90" t="s">
        <v>25</v>
      </c>
      <c r="N90" t="s">
        <v>180</v>
      </c>
      <c r="O90" t="s">
        <v>181</v>
      </c>
    </row>
    <row r="91" spans="1:15" x14ac:dyDescent="0.3">
      <c r="A91" t="s">
        <v>133</v>
      </c>
      <c r="B91" t="s">
        <v>46</v>
      </c>
      <c r="C91" t="s">
        <v>205</v>
      </c>
      <c r="D91">
        <v>45</v>
      </c>
      <c r="E91" s="1" t="s">
        <v>205</v>
      </c>
      <c r="F91" t="s">
        <v>37</v>
      </c>
      <c r="G91" t="s">
        <v>25</v>
      </c>
      <c r="I91" t="s">
        <v>133</v>
      </c>
      <c r="J91" t="s">
        <v>133</v>
      </c>
      <c r="K91">
        <v>798</v>
      </c>
      <c r="L91" t="s">
        <v>27</v>
      </c>
      <c r="M91" t="s">
        <v>25</v>
      </c>
      <c r="N91" t="s">
        <v>180</v>
      </c>
      <c r="O91" t="s">
        <v>181</v>
      </c>
    </row>
    <row r="92" spans="1:15" x14ac:dyDescent="0.3">
      <c r="A92" t="s">
        <v>133</v>
      </c>
      <c r="B92" t="s">
        <v>46</v>
      </c>
      <c r="C92" t="s">
        <v>205</v>
      </c>
      <c r="D92">
        <v>63</v>
      </c>
      <c r="E92" s="1" t="s">
        <v>205</v>
      </c>
      <c r="F92" t="s">
        <v>37</v>
      </c>
      <c r="G92" t="s">
        <v>25</v>
      </c>
      <c r="I92" t="s">
        <v>133</v>
      </c>
      <c r="J92" t="s">
        <v>133</v>
      </c>
      <c r="K92">
        <v>798</v>
      </c>
      <c r="L92" t="s">
        <v>27</v>
      </c>
      <c r="M92" t="s">
        <v>25</v>
      </c>
      <c r="N92" t="s">
        <v>180</v>
      </c>
      <c r="O92" t="s">
        <v>181</v>
      </c>
    </row>
    <row r="93" spans="1:15" x14ac:dyDescent="0.3">
      <c r="A93" t="s">
        <v>133</v>
      </c>
      <c r="B93" t="s">
        <v>46</v>
      </c>
      <c r="C93" t="s">
        <v>205</v>
      </c>
      <c r="D93">
        <v>139</v>
      </c>
      <c r="E93" s="1" t="s">
        <v>205</v>
      </c>
      <c r="F93" t="s">
        <v>37</v>
      </c>
      <c r="G93" t="s">
        <v>25</v>
      </c>
      <c r="I93" t="s">
        <v>133</v>
      </c>
      <c r="J93" t="s">
        <v>133</v>
      </c>
      <c r="K93">
        <v>798</v>
      </c>
      <c r="L93" t="s">
        <v>27</v>
      </c>
      <c r="M93" t="s">
        <v>25</v>
      </c>
      <c r="N93" t="s">
        <v>180</v>
      </c>
      <c r="O93" t="s">
        <v>181</v>
      </c>
    </row>
    <row r="94" spans="1:15" x14ac:dyDescent="0.3">
      <c r="A94" t="s">
        <v>133</v>
      </c>
      <c r="B94" t="s">
        <v>46</v>
      </c>
      <c r="C94" t="s">
        <v>205</v>
      </c>
      <c r="D94">
        <v>161</v>
      </c>
      <c r="E94" s="1" t="s">
        <v>205</v>
      </c>
      <c r="F94" t="s">
        <v>37</v>
      </c>
      <c r="G94" t="s">
        <v>25</v>
      </c>
      <c r="I94" t="s">
        <v>133</v>
      </c>
      <c r="J94" t="s">
        <v>133</v>
      </c>
      <c r="K94">
        <v>798</v>
      </c>
      <c r="L94" t="s">
        <v>27</v>
      </c>
      <c r="M94" t="s">
        <v>25</v>
      </c>
      <c r="N94" t="s">
        <v>180</v>
      </c>
      <c r="O94" t="s">
        <v>181</v>
      </c>
    </row>
    <row r="95" spans="1:15" x14ac:dyDescent="0.3">
      <c r="A95" t="s">
        <v>133</v>
      </c>
      <c r="B95" t="s">
        <v>46</v>
      </c>
      <c r="C95" t="s">
        <v>205</v>
      </c>
      <c r="D95">
        <v>183</v>
      </c>
      <c r="E95" s="1" t="s">
        <v>205</v>
      </c>
      <c r="F95" t="s">
        <v>37</v>
      </c>
      <c r="G95" t="s">
        <v>25</v>
      </c>
      <c r="I95" t="s">
        <v>133</v>
      </c>
      <c r="J95" t="s">
        <v>133</v>
      </c>
      <c r="K95">
        <v>798</v>
      </c>
      <c r="L95" t="s">
        <v>27</v>
      </c>
      <c r="M95" t="s">
        <v>25</v>
      </c>
      <c r="N95" t="s">
        <v>180</v>
      </c>
      <c r="O95" t="s">
        <v>181</v>
      </c>
    </row>
    <row r="96" spans="1:15" x14ac:dyDescent="0.3">
      <c r="A96" t="s">
        <v>133</v>
      </c>
      <c r="B96" t="s">
        <v>46</v>
      </c>
      <c r="C96" t="s">
        <v>205</v>
      </c>
      <c r="D96">
        <v>202</v>
      </c>
      <c r="E96" s="1" t="s">
        <v>205</v>
      </c>
      <c r="F96" t="s">
        <v>37</v>
      </c>
      <c r="G96" t="s">
        <v>25</v>
      </c>
      <c r="I96" t="s">
        <v>133</v>
      </c>
      <c r="J96" t="s">
        <v>133</v>
      </c>
      <c r="K96">
        <v>798</v>
      </c>
      <c r="L96" t="s">
        <v>27</v>
      </c>
      <c r="M96" t="s">
        <v>25</v>
      </c>
      <c r="N96" t="s">
        <v>180</v>
      </c>
      <c r="O96" t="s">
        <v>181</v>
      </c>
    </row>
    <row r="97" spans="1:15" x14ac:dyDescent="0.3">
      <c r="A97" t="s">
        <v>133</v>
      </c>
      <c r="B97" t="s">
        <v>46</v>
      </c>
      <c r="C97" t="s">
        <v>205</v>
      </c>
      <c r="D97">
        <v>256</v>
      </c>
      <c r="E97" s="1" t="s">
        <v>205</v>
      </c>
      <c r="F97" t="s">
        <v>37</v>
      </c>
      <c r="G97" t="s">
        <v>25</v>
      </c>
      <c r="I97" t="s">
        <v>133</v>
      </c>
      <c r="J97" t="s">
        <v>133</v>
      </c>
      <c r="K97">
        <v>798</v>
      </c>
      <c r="L97" t="s">
        <v>27</v>
      </c>
      <c r="M97" t="s">
        <v>25</v>
      </c>
      <c r="N97" t="s">
        <v>180</v>
      </c>
      <c r="O97" t="s">
        <v>181</v>
      </c>
    </row>
    <row r="98" spans="1:15" x14ac:dyDescent="0.3">
      <c r="A98" t="s">
        <v>133</v>
      </c>
      <c r="B98" t="s">
        <v>46</v>
      </c>
      <c r="C98" t="s">
        <v>206</v>
      </c>
      <c r="D98">
        <v>25</v>
      </c>
      <c r="E98" s="1" t="s">
        <v>206</v>
      </c>
      <c r="F98" t="s">
        <v>37</v>
      </c>
      <c r="G98" t="s">
        <v>25</v>
      </c>
      <c r="I98" t="s">
        <v>133</v>
      </c>
      <c r="J98" t="s">
        <v>133</v>
      </c>
      <c r="K98">
        <v>798</v>
      </c>
      <c r="L98" t="s">
        <v>27</v>
      </c>
      <c r="M98" t="s">
        <v>25</v>
      </c>
      <c r="N98" t="s">
        <v>180</v>
      </c>
      <c r="O98" t="s">
        <v>181</v>
      </c>
    </row>
    <row r="99" spans="1:15" x14ac:dyDescent="0.3">
      <c r="A99" t="s">
        <v>133</v>
      </c>
      <c r="B99" t="s">
        <v>46</v>
      </c>
      <c r="C99" t="s">
        <v>206</v>
      </c>
      <c r="D99">
        <v>52</v>
      </c>
      <c r="E99" s="1" t="s">
        <v>206</v>
      </c>
      <c r="F99" t="s">
        <v>37</v>
      </c>
      <c r="G99" t="s">
        <v>25</v>
      </c>
      <c r="I99" t="s">
        <v>133</v>
      </c>
      <c r="J99" t="s">
        <v>133</v>
      </c>
      <c r="K99">
        <v>798</v>
      </c>
      <c r="L99" t="s">
        <v>27</v>
      </c>
      <c r="M99" t="s">
        <v>25</v>
      </c>
      <c r="N99" t="s">
        <v>180</v>
      </c>
      <c r="O99" t="s">
        <v>181</v>
      </c>
    </row>
    <row r="100" spans="1:15" x14ac:dyDescent="0.3">
      <c r="A100" t="s">
        <v>133</v>
      </c>
      <c r="B100" t="s">
        <v>46</v>
      </c>
      <c r="C100" t="s">
        <v>206</v>
      </c>
      <c r="D100">
        <v>97</v>
      </c>
      <c r="E100" s="1" t="s">
        <v>206</v>
      </c>
      <c r="F100" t="s">
        <v>37</v>
      </c>
      <c r="G100" t="s">
        <v>25</v>
      </c>
      <c r="I100" t="s">
        <v>133</v>
      </c>
      <c r="J100" t="s">
        <v>133</v>
      </c>
      <c r="K100">
        <v>798</v>
      </c>
      <c r="L100" t="s">
        <v>27</v>
      </c>
      <c r="M100" t="s">
        <v>25</v>
      </c>
      <c r="N100" t="s">
        <v>180</v>
      </c>
      <c r="O100" t="s">
        <v>181</v>
      </c>
    </row>
    <row r="101" spans="1:15" x14ac:dyDescent="0.3">
      <c r="A101" t="s">
        <v>133</v>
      </c>
      <c r="B101" t="s">
        <v>46</v>
      </c>
      <c r="C101" t="s">
        <v>206</v>
      </c>
      <c r="D101">
        <v>123</v>
      </c>
      <c r="E101" s="1" t="s">
        <v>206</v>
      </c>
      <c r="F101" t="s">
        <v>37</v>
      </c>
      <c r="G101" t="s">
        <v>25</v>
      </c>
      <c r="I101" t="s">
        <v>133</v>
      </c>
      <c r="J101" t="s">
        <v>133</v>
      </c>
      <c r="K101">
        <v>798</v>
      </c>
      <c r="L101" t="s">
        <v>27</v>
      </c>
      <c r="M101" t="s">
        <v>25</v>
      </c>
      <c r="N101" t="s">
        <v>180</v>
      </c>
      <c r="O101" t="s">
        <v>181</v>
      </c>
    </row>
    <row r="102" spans="1:15" x14ac:dyDescent="0.3">
      <c r="A102" t="s">
        <v>133</v>
      </c>
      <c r="B102" t="s">
        <v>46</v>
      </c>
      <c r="C102" t="s">
        <v>206</v>
      </c>
      <c r="D102">
        <v>164</v>
      </c>
      <c r="E102" s="1" t="s">
        <v>206</v>
      </c>
      <c r="F102" t="s">
        <v>37</v>
      </c>
      <c r="G102" t="s">
        <v>25</v>
      </c>
      <c r="I102" t="s">
        <v>133</v>
      </c>
      <c r="J102" t="s">
        <v>133</v>
      </c>
      <c r="K102">
        <v>798</v>
      </c>
      <c r="L102" t="s">
        <v>27</v>
      </c>
      <c r="M102" t="s">
        <v>25</v>
      </c>
      <c r="N102" t="s">
        <v>180</v>
      </c>
      <c r="O102" t="s">
        <v>181</v>
      </c>
    </row>
    <row r="103" spans="1:15" x14ac:dyDescent="0.3">
      <c r="A103" t="s">
        <v>133</v>
      </c>
      <c r="B103" t="s">
        <v>46</v>
      </c>
      <c r="C103" t="s">
        <v>207</v>
      </c>
      <c r="D103">
        <v>21</v>
      </c>
      <c r="E103" s="1" t="s">
        <v>207</v>
      </c>
      <c r="F103" t="s">
        <v>37</v>
      </c>
      <c r="G103" t="s">
        <v>25</v>
      </c>
      <c r="I103" t="s">
        <v>133</v>
      </c>
      <c r="J103" t="s">
        <v>133</v>
      </c>
      <c r="K103">
        <v>798</v>
      </c>
      <c r="L103" t="s">
        <v>27</v>
      </c>
      <c r="M103" t="s">
        <v>25</v>
      </c>
      <c r="N103" t="s">
        <v>180</v>
      </c>
      <c r="O103" t="s">
        <v>181</v>
      </c>
    </row>
    <row r="104" spans="1:15" x14ac:dyDescent="0.3">
      <c r="A104" t="s">
        <v>133</v>
      </c>
      <c r="B104" t="s">
        <v>46</v>
      </c>
      <c r="C104" t="s">
        <v>207</v>
      </c>
      <c r="D104">
        <v>38</v>
      </c>
      <c r="E104" s="1" t="s">
        <v>207</v>
      </c>
      <c r="F104" t="s">
        <v>37</v>
      </c>
      <c r="G104" t="s">
        <v>25</v>
      </c>
      <c r="I104" t="s">
        <v>133</v>
      </c>
      <c r="J104" t="s">
        <v>133</v>
      </c>
      <c r="K104">
        <v>798</v>
      </c>
      <c r="L104" t="s">
        <v>27</v>
      </c>
      <c r="M104" t="s">
        <v>25</v>
      </c>
      <c r="N104" t="s">
        <v>180</v>
      </c>
      <c r="O104" t="s">
        <v>181</v>
      </c>
    </row>
    <row r="105" spans="1:15" x14ac:dyDescent="0.3">
      <c r="A105" t="s">
        <v>133</v>
      </c>
      <c r="B105" t="s">
        <v>46</v>
      </c>
      <c r="C105" t="s">
        <v>207</v>
      </c>
      <c r="D105">
        <v>55</v>
      </c>
      <c r="E105" s="1" t="s">
        <v>207</v>
      </c>
      <c r="F105" t="s">
        <v>37</v>
      </c>
      <c r="G105" t="s">
        <v>25</v>
      </c>
      <c r="I105" t="s">
        <v>133</v>
      </c>
      <c r="J105" t="s">
        <v>133</v>
      </c>
      <c r="K105">
        <v>798</v>
      </c>
      <c r="L105" t="s">
        <v>27</v>
      </c>
      <c r="M105" t="s">
        <v>25</v>
      </c>
      <c r="N105" t="s">
        <v>180</v>
      </c>
      <c r="O105" t="s">
        <v>181</v>
      </c>
    </row>
    <row r="106" spans="1:15" x14ac:dyDescent="0.3">
      <c r="A106" t="s">
        <v>133</v>
      </c>
      <c r="B106" t="s">
        <v>46</v>
      </c>
      <c r="C106" t="s">
        <v>207</v>
      </c>
      <c r="D106">
        <v>72</v>
      </c>
      <c r="E106" s="1" t="s">
        <v>207</v>
      </c>
      <c r="F106" t="s">
        <v>37</v>
      </c>
      <c r="G106" t="s">
        <v>25</v>
      </c>
      <c r="I106" t="s">
        <v>133</v>
      </c>
      <c r="J106" t="s">
        <v>133</v>
      </c>
      <c r="K106">
        <v>798</v>
      </c>
      <c r="L106" t="s">
        <v>27</v>
      </c>
      <c r="M106" t="s">
        <v>25</v>
      </c>
      <c r="N106" t="s">
        <v>180</v>
      </c>
      <c r="O106" t="s">
        <v>181</v>
      </c>
    </row>
    <row r="107" spans="1:15" x14ac:dyDescent="0.3">
      <c r="A107" t="s">
        <v>133</v>
      </c>
      <c r="B107" t="s">
        <v>46</v>
      </c>
      <c r="C107" t="s">
        <v>207</v>
      </c>
      <c r="D107">
        <v>93</v>
      </c>
      <c r="E107" s="1" t="s">
        <v>207</v>
      </c>
      <c r="F107" t="s">
        <v>37</v>
      </c>
      <c r="G107" t="s">
        <v>25</v>
      </c>
      <c r="I107" t="s">
        <v>133</v>
      </c>
      <c r="J107" t="s">
        <v>133</v>
      </c>
      <c r="K107">
        <v>798</v>
      </c>
      <c r="L107" t="s">
        <v>27</v>
      </c>
      <c r="M107" t="s">
        <v>25</v>
      </c>
      <c r="N107" t="s">
        <v>180</v>
      </c>
      <c r="O107" t="s">
        <v>181</v>
      </c>
    </row>
    <row r="108" spans="1:15" x14ac:dyDescent="0.3">
      <c r="A108" t="s">
        <v>133</v>
      </c>
      <c r="B108" t="s">
        <v>46</v>
      </c>
      <c r="C108" t="s">
        <v>207</v>
      </c>
      <c r="D108">
        <v>114</v>
      </c>
      <c r="E108" s="1" t="s">
        <v>207</v>
      </c>
      <c r="F108" t="s">
        <v>37</v>
      </c>
      <c r="G108" t="s">
        <v>25</v>
      </c>
      <c r="I108" t="s">
        <v>133</v>
      </c>
      <c r="J108" t="s">
        <v>133</v>
      </c>
      <c r="K108">
        <v>798</v>
      </c>
      <c r="L108" t="s">
        <v>27</v>
      </c>
      <c r="M108" t="s">
        <v>25</v>
      </c>
      <c r="N108" t="s">
        <v>180</v>
      </c>
      <c r="O108" t="s">
        <v>181</v>
      </c>
    </row>
    <row r="109" spans="1:15" x14ac:dyDescent="0.3">
      <c r="A109" t="s">
        <v>133</v>
      </c>
      <c r="B109" t="s">
        <v>46</v>
      </c>
      <c r="C109" t="s">
        <v>207</v>
      </c>
      <c r="D109">
        <v>137</v>
      </c>
      <c r="E109" s="1" t="s">
        <v>207</v>
      </c>
      <c r="F109" t="s">
        <v>37</v>
      </c>
      <c r="G109" t="s">
        <v>25</v>
      </c>
      <c r="I109" t="s">
        <v>133</v>
      </c>
      <c r="J109" t="s">
        <v>133</v>
      </c>
      <c r="K109">
        <v>798</v>
      </c>
      <c r="L109" t="s">
        <v>27</v>
      </c>
      <c r="M109" t="s">
        <v>25</v>
      </c>
      <c r="N109" t="s">
        <v>180</v>
      </c>
      <c r="O109" t="s">
        <v>181</v>
      </c>
    </row>
    <row r="110" spans="1:15" x14ac:dyDescent="0.3">
      <c r="A110" t="s">
        <v>133</v>
      </c>
      <c r="B110" t="s">
        <v>46</v>
      </c>
      <c r="C110" t="s">
        <v>207</v>
      </c>
      <c r="D110">
        <v>155</v>
      </c>
      <c r="E110" s="1" t="s">
        <v>207</v>
      </c>
      <c r="F110" t="s">
        <v>37</v>
      </c>
      <c r="G110" t="s">
        <v>25</v>
      </c>
      <c r="I110" t="s">
        <v>133</v>
      </c>
      <c r="J110" t="s">
        <v>133</v>
      </c>
      <c r="K110">
        <v>798</v>
      </c>
      <c r="L110" t="s">
        <v>27</v>
      </c>
      <c r="M110" t="s">
        <v>25</v>
      </c>
      <c r="N110" t="s">
        <v>180</v>
      </c>
      <c r="O110" t="s">
        <v>181</v>
      </c>
    </row>
    <row r="111" spans="1:15" x14ac:dyDescent="0.3">
      <c r="A111" t="s">
        <v>133</v>
      </c>
      <c r="B111" t="s">
        <v>46</v>
      </c>
      <c r="C111" t="s">
        <v>207</v>
      </c>
      <c r="D111">
        <v>173</v>
      </c>
      <c r="E111" s="1" t="s">
        <v>207</v>
      </c>
      <c r="F111" t="s">
        <v>37</v>
      </c>
      <c r="G111" t="s">
        <v>25</v>
      </c>
      <c r="I111" t="s">
        <v>133</v>
      </c>
      <c r="J111" t="s">
        <v>133</v>
      </c>
      <c r="K111">
        <v>798</v>
      </c>
      <c r="L111" t="s">
        <v>27</v>
      </c>
      <c r="M111" t="s">
        <v>25</v>
      </c>
      <c r="N111" t="s">
        <v>180</v>
      </c>
      <c r="O111" t="s">
        <v>181</v>
      </c>
    </row>
    <row r="112" spans="1:15" x14ac:dyDescent="0.3">
      <c r="A112" t="s">
        <v>133</v>
      </c>
      <c r="B112" t="s">
        <v>46</v>
      </c>
      <c r="C112" t="s">
        <v>207</v>
      </c>
      <c r="D112">
        <v>190</v>
      </c>
      <c r="E112" s="1" t="s">
        <v>207</v>
      </c>
      <c r="F112" t="s">
        <v>37</v>
      </c>
      <c r="G112" t="s">
        <v>25</v>
      </c>
      <c r="I112" t="s">
        <v>133</v>
      </c>
      <c r="J112" t="s">
        <v>133</v>
      </c>
      <c r="K112">
        <v>798</v>
      </c>
      <c r="L112" t="s">
        <v>27</v>
      </c>
      <c r="M112" t="s">
        <v>25</v>
      </c>
      <c r="N112" t="s">
        <v>180</v>
      </c>
      <c r="O112" t="s">
        <v>181</v>
      </c>
    </row>
    <row r="113" spans="1:15" x14ac:dyDescent="0.3">
      <c r="A113" t="s">
        <v>133</v>
      </c>
      <c r="B113" t="s">
        <v>46</v>
      </c>
      <c r="C113" t="s">
        <v>207</v>
      </c>
      <c r="D113">
        <v>309</v>
      </c>
      <c r="E113" s="1" t="s">
        <v>207</v>
      </c>
      <c r="F113" t="s">
        <v>37</v>
      </c>
      <c r="G113" t="s">
        <v>25</v>
      </c>
      <c r="I113" t="s">
        <v>133</v>
      </c>
      <c r="J113" t="s">
        <v>133</v>
      </c>
      <c r="K113">
        <v>798</v>
      </c>
      <c r="L113" t="s">
        <v>27</v>
      </c>
      <c r="M113" t="s">
        <v>25</v>
      </c>
      <c r="N113" t="s">
        <v>180</v>
      </c>
      <c r="O113" t="s">
        <v>181</v>
      </c>
    </row>
    <row r="114" spans="1:15" x14ac:dyDescent="0.3">
      <c r="A114" t="s">
        <v>133</v>
      </c>
      <c r="B114" t="s">
        <v>46</v>
      </c>
      <c r="C114" t="s">
        <v>207</v>
      </c>
      <c r="D114">
        <v>326</v>
      </c>
      <c r="E114" s="1" t="s">
        <v>207</v>
      </c>
      <c r="F114" t="s">
        <v>37</v>
      </c>
      <c r="G114" t="s">
        <v>25</v>
      </c>
      <c r="I114" t="s">
        <v>133</v>
      </c>
      <c r="J114" t="s">
        <v>133</v>
      </c>
      <c r="K114">
        <v>798</v>
      </c>
      <c r="L114" t="s">
        <v>27</v>
      </c>
      <c r="M114" t="s">
        <v>25</v>
      </c>
      <c r="N114" t="s">
        <v>180</v>
      </c>
      <c r="O114" t="s">
        <v>181</v>
      </c>
    </row>
    <row r="115" spans="1:15" x14ac:dyDescent="0.3">
      <c r="A115" t="s">
        <v>133</v>
      </c>
      <c r="B115" t="s">
        <v>46</v>
      </c>
      <c r="C115" t="s">
        <v>207</v>
      </c>
      <c r="D115">
        <v>207</v>
      </c>
      <c r="E115" s="1" t="s">
        <v>207</v>
      </c>
      <c r="F115" t="s">
        <v>37</v>
      </c>
      <c r="G115" t="s">
        <v>25</v>
      </c>
      <c r="I115" t="s">
        <v>133</v>
      </c>
      <c r="J115" t="s">
        <v>133</v>
      </c>
      <c r="K115">
        <v>798</v>
      </c>
      <c r="L115" t="s">
        <v>27</v>
      </c>
      <c r="M115" t="s">
        <v>25</v>
      </c>
      <c r="N115" t="s">
        <v>180</v>
      </c>
      <c r="O115" t="s">
        <v>181</v>
      </c>
    </row>
    <row r="116" spans="1:15" x14ac:dyDescent="0.3">
      <c r="A116" t="s">
        <v>133</v>
      </c>
      <c r="B116" t="s">
        <v>46</v>
      </c>
      <c r="C116" t="s">
        <v>207</v>
      </c>
      <c r="D116">
        <v>228</v>
      </c>
      <c r="E116" s="1" t="s">
        <v>207</v>
      </c>
      <c r="F116" t="s">
        <v>37</v>
      </c>
      <c r="G116" t="s">
        <v>25</v>
      </c>
      <c r="I116" t="s">
        <v>133</v>
      </c>
      <c r="J116" t="s">
        <v>133</v>
      </c>
      <c r="K116">
        <v>798</v>
      </c>
      <c r="L116" t="s">
        <v>27</v>
      </c>
      <c r="M116" t="s">
        <v>25</v>
      </c>
      <c r="N116" t="s">
        <v>180</v>
      </c>
      <c r="O116" t="s">
        <v>181</v>
      </c>
    </row>
    <row r="117" spans="1:15" x14ac:dyDescent="0.3">
      <c r="A117" t="s">
        <v>133</v>
      </c>
      <c r="B117" t="s">
        <v>46</v>
      </c>
      <c r="C117" t="s">
        <v>207</v>
      </c>
      <c r="D117">
        <v>249</v>
      </c>
      <c r="E117" s="1" t="s">
        <v>207</v>
      </c>
      <c r="F117" t="s">
        <v>37</v>
      </c>
      <c r="G117" t="s">
        <v>25</v>
      </c>
      <c r="I117" t="s">
        <v>133</v>
      </c>
      <c r="J117" t="s">
        <v>133</v>
      </c>
      <c r="K117">
        <v>798</v>
      </c>
      <c r="L117" t="s">
        <v>27</v>
      </c>
      <c r="M117" t="s">
        <v>25</v>
      </c>
      <c r="N117" t="s">
        <v>180</v>
      </c>
      <c r="O117" t="s">
        <v>181</v>
      </c>
    </row>
    <row r="118" spans="1:15" x14ac:dyDescent="0.3">
      <c r="A118" t="s">
        <v>133</v>
      </c>
      <c r="B118" t="s">
        <v>46</v>
      </c>
      <c r="C118" t="s">
        <v>207</v>
      </c>
      <c r="D118">
        <v>269</v>
      </c>
      <c r="E118" s="1" t="s">
        <v>207</v>
      </c>
      <c r="F118" t="s">
        <v>37</v>
      </c>
      <c r="G118" t="s">
        <v>25</v>
      </c>
      <c r="I118" t="s">
        <v>133</v>
      </c>
      <c r="J118" t="s">
        <v>133</v>
      </c>
      <c r="K118">
        <v>798</v>
      </c>
      <c r="L118" t="s">
        <v>27</v>
      </c>
      <c r="M118" t="s">
        <v>25</v>
      </c>
      <c r="N118" t="s">
        <v>180</v>
      </c>
      <c r="O118" t="s">
        <v>181</v>
      </c>
    </row>
    <row r="119" spans="1:15" x14ac:dyDescent="0.3">
      <c r="A119" t="s">
        <v>133</v>
      </c>
      <c r="B119" t="s">
        <v>46</v>
      </c>
      <c r="C119" t="s">
        <v>207</v>
      </c>
      <c r="D119">
        <v>292</v>
      </c>
      <c r="E119" s="1" t="s">
        <v>207</v>
      </c>
      <c r="F119" t="s">
        <v>37</v>
      </c>
      <c r="G119" t="s">
        <v>25</v>
      </c>
      <c r="I119" t="s">
        <v>133</v>
      </c>
      <c r="J119" t="s">
        <v>133</v>
      </c>
      <c r="K119">
        <v>798</v>
      </c>
      <c r="L119" t="s">
        <v>27</v>
      </c>
      <c r="M119" t="s">
        <v>25</v>
      </c>
      <c r="N119" t="s">
        <v>180</v>
      </c>
      <c r="O119" t="s">
        <v>181</v>
      </c>
    </row>
    <row r="120" spans="1:15" x14ac:dyDescent="0.3">
      <c r="A120" t="s">
        <v>133</v>
      </c>
      <c r="B120" t="s">
        <v>46</v>
      </c>
      <c r="C120" t="s">
        <v>208</v>
      </c>
      <c r="D120">
        <v>112</v>
      </c>
      <c r="E120" s="1" t="s">
        <v>208</v>
      </c>
      <c r="F120" t="s">
        <v>37</v>
      </c>
      <c r="G120" t="s">
        <v>25</v>
      </c>
      <c r="I120" t="s">
        <v>133</v>
      </c>
      <c r="J120" t="s">
        <v>133</v>
      </c>
      <c r="K120">
        <v>798</v>
      </c>
      <c r="L120" t="s">
        <v>27</v>
      </c>
      <c r="M120" t="s">
        <v>25</v>
      </c>
      <c r="N120" t="s">
        <v>180</v>
      </c>
      <c r="O120" t="s">
        <v>181</v>
      </c>
    </row>
    <row r="121" spans="1:15" x14ac:dyDescent="0.3">
      <c r="A121" t="s">
        <v>133</v>
      </c>
      <c r="B121" t="s">
        <v>46</v>
      </c>
      <c r="C121" t="s">
        <v>208</v>
      </c>
      <c r="D121">
        <v>132</v>
      </c>
      <c r="E121" s="1" t="s">
        <v>208</v>
      </c>
      <c r="F121" t="s">
        <v>37</v>
      </c>
      <c r="G121" t="s">
        <v>25</v>
      </c>
      <c r="I121" t="s">
        <v>133</v>
      </c>
      <c r="J121" t="s">
        <v>133</v>
      </c>
      <c r="K121">
        <v>798</v>
      </c>
      <c r="L121" t="s">
        <v>27</v>
      </c>
      <c r="M121" t="s">
        <v>25</v>
      </c>
      <c r="N121" t="s">
        <v>180</v>
      </c>
      <c r="O121" t="s">
        <v>181</v>
      </c>
    </row>
    <row r="122" spans="1:15" x14ac:dyDescent="0.3">
      <c r="A122" t="s">
        <v>133</v>
      </c>
      <c r="B122" t="s">
        <v>46</v>
      </c>
      <c r="C122" t="s">
        <v>209</v>
      </c>
      <c r="D122">
        <v>149</v>
      </c>
      <c r="E122" s="1" t="s">
        <v>209</v>
      </c>
      <c r="F122" t="s">
        <v>37</v>
      </c>
      <c r="G122" t="s">
        <v>25</v>
      </c>
      <c r="I122" t="s">
        <v>133</v>
      </c>
      <c r="J122" t="s">
        <v>133</v>
      </c>
      <c r="K122">
        <v>798</v>
      </c>
      <c r="L122" t="s">
        <v>27</v>
      </c>
      <c r="M122" t="s">
        <v>25</v>
      </c>
      <c r="N122" t="s">
        <v>180</v>
      </c>
      <c r="O122" t="s">
        <v>181</v>
      </c>
    </row>
    <row r="123" spans="1:15" x14ac:dyDescent="0.3">
      <c r="A123" t="s">
        <v>133</v>
      </c>
      <c r="B123" t="s">
        <v>46</v>
      </c>
      <c r="C123" t="s">
        <v>209</v>
      </c>
      <c r="D123">
        <v>56</v>
      </c>
      <c r="E123" s="1" t="s">
        <v>209</v>
      </c>
      <c r="F123" t="s">
        <v>37</v>
      </c>
      <c r="G123" t="s">
        <v>25</v>
      </c>
      <c r="I123" t="s">
        <v>133</v>
      </c>
      <c r="J123" t="s">
        <v>133</v>
      </c>
      <c r="K123">
        <v>798</v>
      </c>
      <c r="L123" t="s">
        <v>27</v>
      </c>
      <c r="M123" t="s">
        <v>25</v>
      </c>
      <c r="N123" t="s">
        <v>180</v>
      </c>
      <c r="O123" t="s">
        <v>181</v>
      </c>
    </row>
    <row r="124" spans="1:15" x14ac:dyDescent="0.3">
      <c r="A124" t="s">
        <v>133</v>
      </c>
      <c r="B124" t="s">
        <v>46</v>
      </c>
      <c r="C124" t="s">
        <v>209</v>
      </c>
      <c r="D124">
        <v>73</v>
      </c>
      <c r="E124" s="1" t="s">
        <v>209</v>
      </c>
      <c r="F124" t="s">
        <v>37</v>
      </c>
      <c r="G124" t="s">
        <v>25</v>
      </c>
      <c r="I124" t="s">
        <v>133</v>
      </c>
      <c r="J124" t="s">
        <v>133</v>
      </c>
      <c r="K124">
        <v>798</v>
      </c>
      <c r="L124" t="s">
        <v>27</v>
      </c>
      <c r="M124" t="s">
        <v>25</v>
      </c>
      <c r="N124" t="s">
        <v>180</v>
      </c>
      <c r="O124" t="s">
        <v>181</v>
      </c>
    </row>
    <row r="125" spans="1:15" x14ac:dyDescent="0.3">
      <c r="A125" t="s">
        <v>133</v>
      </c>
      <c r="B125" t="s">
        <v>46</v>
      </c>
      <c r="C125" t="s">
        <v>209</v>
      </c>
      <c r="D125">
        <v>90</v>
      </c>
      <c r="E125" s="1" t="s">
        <v>209</v>
      </c>
      <c r="F125" t="s">
        <v>37</v>
      </c>
      <c r="G125" t="s">
        <v>25</v>
      </c>
      <c r="I125" t="s">
        <v>133</v>
      </c>
      <c r="J125" t="s">
        <v>133</v>
      </c>
      <c r="K125">
        <v>798</v>
      </c>
      <c r="L125" t="s">
        <v>27</v>
      </c>
      <c r="M125" t="s">
        <v>25</v>
      </c>
      <c r="N125" t="s">
        <v>180</v>
      </c>
      <c r="O125" t="s">
        <v>181</v>
      </c>
    </row>
    <row r="126" spans="1:15" x14ac:dyDescent="0.3">
      <c r="A126" t="s">
        <v>133</v>
      </c>
      <c r="B126" t="s">
        <v>46</v>
      </c>
      <c r="C126" t="s">
        <v>209</v>
      </c>
      <c r="D126">
        <v>109</v>
      </c>
      <c r="E126" s="1" t="s">
        <v>209</v>
      </c>
      <c r="F126" t="s">
        <v>37</v>
      </c>
      <c r="G126" t="s">
        <v>25</v>
      </c>
      <c r="I126" t="s">
        <v>133</v>
      </c>
      <c r="J126" t="s">
        <v>133</v>
      </c>
      <c r="K126">
        <v>798</v>
      </c>
      <c r="L126" t="s">
        <v>27</v>
      </c>
      <c r="M126" t="s">
        <v>25</v>
      </c>
      <c r="N126" t="s">
        <v>180</v>
      </c>
      <c r="O126" t="s">
        <v>181</v>
      </c>
    </row>
    <row r="127" spans="1:15" x14ac:dyDescent="0.3">
      <c r="A127" t="s">
        <v>133</v>
      </c>
      <c r="B127" t="s">
        <v>46</v>
      </c>
      <c r="C127" t="s">
        <v>209</v>
      </c>
      <c r="D127">
        <v>129</v>
      </c>
      <c r="E127" s="1" t="s">
        <v>209</v>
      </c>
      <c r="F127" t="s">
        <v>37</v>
      </c>
      <c r="G127" t="s">
        <v>25</v>
      </c>
      <c r="I127" t="s">
        <v>133</v>
      </c>
      <c r="J127" t="s">
        <v>133</v>
      </c>
      <c r="K127">
        <v>798</v>
      </c>
      <c r="L127" t="s">
        <v>27</v>
      </c>
      <c r="M127" t="s">
        <v>25</v>
      </c>
      <c r="N127" t="s">
        <v>180</v>
      </c>
      <c r="O127" t="s">
        <v>181</v>
      </c>
    </row>
    <row r="128" spans="1:15" x14ac:dyDescent="0.3">
      <c r="A128" t="s">
        <v>133</v>
      </c>
      <c r="B128" t="s">
        <v>46</v>
      </c>
      <c r="C128" t="s">
        <v>209</v>
      </c>
      <c r="D128">
        <v>19</v>
      </c>
      <c r="E128" s="1" t="s">
        <v>209</v>
      </c>
      <c r="F128" t="s">
        <v>37</v>
      </c>
      <c r="G128" t="s">
        <v>25</v>
      </c>
      <c r="I128" t="s">
        <v>133</v>
      </c>
      <c r="J128" t="s">
        <v>133</v>
      </c>
      <c r="K128">
        <v>798</v>
      </c>
      <c r="L128" t="s">
        <v>27</v>
      </c>
      <c r="M128" t="s">
        <v>25</v>
      </c>
      <c r="N128" t="s">
        <v>180</v>
      </c>
      <c r="O128" t="s">
        <v>181</v>
      </c>
    </row>
    <row r="129" spans="1:15" x14ac:dyDescent="0.3">
      <c r="A129" t="s">
        <v>133</v>
      </c>
      <c r="B129" t="s">
        <v>46</v>
      </c>
      <c r="C129" t="s">
        <v>210</v>
      </c>
      <c r="D129">
        <v>26</v>
      </c>
      <c r="E129" s="1" t="s">
        <v>210</v>
      </c>
      <c r="F129" t="s">
        <v>37</v>
      </c>
      <c r="G129" t="s">
        <v>25</v>
      </c>
      <c r="I129" t="s">
        <v>133</v>
      </c>
      <c r="J129" t="s">
        <v>133</v>
      </c>
      <c r="K129">
        <v>798</v>
      </c>
      <c r="L129" t="s">
        <v>27</v>
      </c>
      <c r="M129" t="s">
        <v>25</v>
      </c>
      <c r="N129" t="s">
        <v>180</v>
      </c>
      <c r="O129" t="s">
        <v>181</v>
      </c>
    </row>
    <row r="130" spans="1:15" x14ac:dyDescent="0.3">
      <c r="A130" t="s">
        <v>133</v>
      </c>
      <c r="B130" t="s">
        <v>46</v>
      </c>
      <c r="C130" t="s">
        <v>210</v>
      </c>
      <c r="D130">
        <v>64</v>
      </c>
      <c r="E130" s="1" t="s">
        <v>210</v>
      </c>
      <c r="F130" t="s">
        <v>37</v>
      </c>
      <c r="G130" t="s">
        <v>25</v>
      </c>
      <c r="I130" t="s">
        <v>133</v>
      </c>
      <c r="J130" t="s">
        <v>133</v>
      </c>
      <c r="K130">
        <v>798</v>
      </c>
      <c r="L130" t="s">
        <v>27</v>
      </c>
      <c r="M130" t="s">
        <v>25</v>
      </c>
      <c r="N130" t="s">
        <v>180</v>
      </c>
      <c r="O130" t="s">
        <v>181</v>
      </c>
    </row>
    <row r="131" spans="1:15" x14ac:dyDescent="0.3">
      <c r="A131" t="s">
        <v>133</v>
      </c>
      <c r="B131" t="s">
        <v>46</v>
      </c>
      <c r="C131" t="s">
        <v>210</v>
      </c>
      <c r="D131">
        <v>86</v>
      </c>
      <c r="E131" s="1" t="s">
        <v>210</v>
      </c>
      <c r="F131" t="s">
        <v>37</v>
      </c>
      <c r="G131" t="s">
        <v>25</v>
      </c>
      <c r="I131" t="s">
        <v>133</v>
      </c>
      <c r="J131" t="s">
        <v>133</v>
      </c>
      <c r="K131">
        <v>798</v>
      </c>
      <c r="L131" t="s">
        <v>27</v>
      </c>
      <c r="M131" t="s">
        <v>25</v>
      </c>
      <c r="N131" t="s">
        <v>180</v>
      </c>
      <c r="O131" t="s">
        <v>181</v>
      </c>
    </row>
    <row r="132" spans="1:15" x14ac:dyDescent="0.3">
      <c r="A132" t="s">
        <v>133</v>
      </c>
      <c r="B132" t="s">
        <v>46</v>
      </c>
      <c r="C132" t="s">
        <v>210</v>
      </c>
      <c r="D132">
        <v>112</v>
      </c>
      <c r="E132" s="1" t="s">
        <v>210</v>
      </c>
      <c r="F132" t="s">
        <v>37</v>
      </c>
      <c r="G132" t="s">
        <v>25</v>
      </c>
      <c r="I132" t="s">
        <v>133</v>
      </c>
      <c r="J132" t="s">
        <v>133</v>
      </c>
      <c r="K132">
        <v>798</v>
      </c>
      <c r="L132" t="s">
        <v>27</v>
      </c>
      <c r="M132" t="s">
        <v>25</v>
      </c>
      <c r="N132" t="s">
        <v>180</v>
      </c>
      <c r="O132" t="s">
        <v>181</v>
      </c>
    </row>
    <row r="133" spans="1:15" x14ac:dyDescent="0.3">
      <c r="A133" t="s">
        <v>133</v>
      </c>
      <c r="B133" t="s">
        <v>46</v>
      </c>
      <c r="C133" t="s">
        <v>210</v>
      </c>
      <c r="D133">
        <v>142</v>
      </c>
      <c r="E133" s="1" t="s">
        <v>210</v>
      </c>
      <c r="F133" t="s">
        <v>37</v>
      </c>
      <c r="G133" t="s">
        <v>25</v>
      </c>
      <c r="I133" t="s">
        <v>133</v>
      </c>
      <c r="J133" t="s">
        <v>133</v>
      </c>
      <c r="K133">
        <v>798</v>
      </c>
      <c r="L133" t="s">
        <v>27</v>
      </c>
      <c r="M133" t="s">
        <v>25</v>
      </c>
      <c r="N133" t="s">
        <v>180</v>
      </c>
      <c r="O133" t="s">
        <v>181</v>
      </c>
    </row>
    <row r="134" spans="1:15" x14ac:dyDescent="0.3">
      <c r="A134" t="s">
        <v>133</v>
      </c>
      <c r="B134" t="s">
        <v>46</v>
      </c>
      <c r="C134" t="s">
        <v>211</v>
      </c>
      <c r="D134">
        <v>21</v>
      </c>
      <c r="E134" s="1" t="s">
        <v>211</v>
      </c>
      <c r="F134" t="s">
        <v>37</v>
      </c>
      <c r="G134" t="s">
        <v>25</v>
      </c>
      <c r="I134" t="s">
        <v>133</v>
      </c>
      <c r="J134" t="s">
        <v>133</v>
      </c>
      <c r="K134">
        <v>798</v>
      </c>
      <c r="L134" t="s">
        <v>27</v>
      </c>
      <c r="M134" t="s">
        <v>25</v>
      </c>
      <c r="N134" t="s">
        <v>180</v>
      </c>
      <c r="O134" t="s">
        <v>181</v>
      </c>
    </row>
    <row r="135" spans="1:15" x14ac:dyDescent="0.3">
      <c r="A135" t="s">
        <v>133</v>
      </c>
      <c r="B135" t="s">
        <v>46</v>
      </c>
      <c r="C135" t="s">
        <v>211</v>
      </c>
      <c r="D135">
        <v>30</v>
      </c>
      <c r="E135" s="1" t="s">
        <v>211</v>
      </c>
      <c r="F135" t="s">
        <v>37</v>
      </c>
      <c r="G135" t="s">
        <v>25</v>
      </c>
      <c r="I135" t="s">
        <v>133</v>
      </c>
      <c r="J135" t="s">
        <v>133</v>
      </c>
      <c r="K135">
        <v>798</v>
      </c>
      <c r="L135" t="s">
        <v>27</v>
      </c>
      <c r="M135" t="s">
        <v>25</v>
      </c>
      <c r="N135" t="s">
        <v>180</v>
      </c>
      <c r="O135" t="s">
        <v>181</v>
      </c>
    </row>
    <row r="136" spans="1:15" x14ac:dyDescent="0.3">
      <c r="A136" t="s">
        <v>133</v>
      </c>
      <c r="B136" t="s">
        <v>46</v>
      </c>
      <c r="C136" t="s">
        <v>211</v>
      </c>
      <c r="D136">
        <v>46</v>
      </c>
      <c r="E136" s="1" t="s">
        <v>211</v>
      </c>
      <c r="F136" t="s">
        <v>37</v>
      </c>
      <c r="G136" t="s">
        <v>25</v>
      </c>
      <c r="I136" t="s">
        <v>133</v>
      </c>
      <c r="J136" t="s">
        <v>133</v>
      </c>
      <c r="K136">
        <v>798</v>
      </c>
      <c r="L136" t="s">
        <v>27</v>
      </c>
      <c r="M136" t="s">
        <v>25</v>
      </c>
      <c r="N136" t="s">
        <v>180</v>
      </c>
      <c r="O136" t="s">
        <v>181</v>
      </c>
    </row>
    <row r="137" spans="1:15" x14ac:dyDescent="0.3">
      <c r="A137" t="s">
        <v>133</v>
      </c>
      <c r="B137" t="s">
        <v>46</v>
      </c>
      <c r="C137" t="s">
        <v>211</v>
      </c>
      <c r="D137">
        <v>64</v>
      </c>
      <c r="E137" s="1" t="s">
        <v>211</v>
      </c>
      <c r="F137" t="s">
        <v>37</v>
      </c>
      <c r="G137" t="s">
        <v>25</v>
      </c>
      <c r="I137" t="s">
        <v>133</v>
      </c>
      <c r="J137" t="s">
        <v>133</v>
      </c>
      <c r="K137">
        <v>798</v>
      </c>
      <c r="L137" t="s">
        <v>27</v>
      </c>
      <c r="M137" t="s">
        <v>25</v>
      </c>
      <c r="N137" t="s">
        <v>180</v>
      </c>
      <c r="O137" t="s">
        <v>181</v>
      </c>
    </row>
    <row r="138" spans="1:15" x14ac:dyDescent="0.3">
      <c r="A138" t="s">
        <v>133</v>
      </c>
      <c r="B138" t="s">
        <v>46</v>
      </c>
      <c r="C138" t="s">
        <v>211</v>
      </c>
      <c r="D138">
        <v>79</v>
      </c>
      <c r="E138" s="1" t="s">
        <v>211</v>
      </c>
      <c r="F138" t="s">
        <v>37</v>
      </c>
      <c r="G138" t="s">
        <v>25</v>
      </c>
      <c r="I138" t="s">
        <v>133</v>
      </c>
      <c r="J138" t="s">
        <v>133</v>
      </c>
      <c r="K138">
        <v>798</v>
      </c>
      <c r="L138" t="s">
        <v>27</v>
      </c>
      <c r="M138" t="s">
        <v>25</v>
      </c>
      <c r="N138" t="s">
        <v>180</v>
      </c>
      <c r="O138" t="s">
        <v>181</v>
      </c>
    </row>
    <row r="139" spans="1:15" x14ac:dyDescent="0.3">
      <c r="A139" t="s">
        <v>133</v>
      </c>
      <c r="B139" t="s">
        <v>46</v>
      </c>
      <c r="C139" t="s">
        <v>211</v>
      </c>
      <c r="D139">
        <v>94</v>
      </c>
      <c r="E139" s="1" t="s">
        <v>211</v>
      </c>
      <c r="F139" t="s">
        <v>37</v>
      </c>
      <c r="G139" t="s">
        <v>25</v>
      </c>
      <c r="I139" t="s">
        <v>133</v>
      </c>
      <c r="J139" t="s">
        <v>133</v>
      </c>
      <c r="K139">
        <v>798</v>
      </c>
      <c r="L139" t="s">
        <v>27</v>
      </c>
      <c r="M139" t="s">
        <v>25</v>
      </c>
      <c r="N139" t="s">
        <v>180</v>
      </c>
      <c r="O139" t="s">
        <v>181</v>
      </c>
    </row>
    <row r="140" spans="1:15" x14ac:dyDescent="0.3">
      <c r="A140" t="s">
        <v>133</v>
      </c>
      <c r="B140" t="s">
        <v>46</v>
      </c>
      <c r="C140" t="s">
        <v>211</v>
      </c>
      <c r="D140">
        <v>109</v>
      </c>
      <c r="E140" s="1" t="s">
        <v>211</v>
      </c>
      <c r="F140" t="s">
        <v>37</v>
      </c>
      <c r="G140" t="s">
        <v>25</v>
      </c>
      <c r="I140" t="s">
        <v>133</v>
      </c>
      <c r="J140" t="s">
        <v>133</v>
      </c>
      <c r="K140">
        <v>798</v>
      </c>
      <c r="L140" t="s">
        <v>27</v>
      </c>
      <c r="M140" t="s">
        <v>25</v>
      </c>
      <c r="N140" t="s">
        <v>180</v>
      </c>
      <c r="O140" t="s">
        <v>181</v>
      </c>
    </row>
    <row r="141" spans="1:15" x14ac:dyDescent="0.3">
      <c r="A141" t="s">
        <v>133</v>
      </c>
      <c r="B141" t="s">
        <v>46</v>
      </c>
      <c r="C141" t="s">
        <v>211</v>
      </c>
      <c r="D141">
        <v>124</v>
      </c>
      <c r="E141" s="1" t="s">
        <v>211</v>
      </c>
      <c r="F141" t="s">
        <v>37</v>
      </c>
      <c r="G141" t="s">
        <v>25</v>
      </c>
      <c r="I141" t="s">
        <v>133</v>
      </c>
      <c r="J141" t="s">
        <v>133</v>
      </c>
      <c r="K141">
        <v>798</v>
      </c>
      <c r="L141" t="s">
        <v>27</v>
      </c>
      <c r="M141" t="s">
        <v>25</v>
      </c>
      <c r="N141" t="s">
        <v>180</v>
      </c>
      <c r="O141" t="s">
        <v>181</v>
      </c>
    </row>
    <row r="142" spans="1:15" x14ac:dyDescent="0.3">
      <c r="A142" t="s">
        <v>133</v>
      </c>
      <c r="B142" t="s">
        <v>46</v>
      </c>
      <c r="C142" t="s">
        <v>211</v>
      </c>
      <c r="D142">
        <v>142</v>
      </c>
      <c r="E142" s="1" t="s">
        <v>211</v>
      </c>
      <c r="F142" t="s">
        <v>37</v>
      </c>
      <c r="G142" t="s">
        <v>25</v>
      </c>
      <c r="I142" t="s">
        <v>133</v>
      </c>
      <c r="J142" t="s">
        <v>133</v>
      </c>
      <c r="K142">
        <v>798</v>
      </c>
      <c r="L142" t="s">
        <v>27</v>
      </c>
      <c r="M142" t="s">
        <v>25</v>
      </c>
      <c r="N142" t="s">
        <v>180</v>
      </c>
      <c r="O142" t="s">
        <v>181</v>
      </c>
    </row>
    <row r="143" spans="1:15" x14ac:dyDescent="0.3">
      <c r="A143" t="s">
        <v>133</v>
      </c>
      <c r="B143" t="s">
        <v>46</v>
      </c>
      <c r="C143" t="s">
        <v>211</v>
      </c>
      <c r="D143">
        <v>245</v>
      </c>
      <c r="E143" s="1" t="s">
        <v>211</v>
      </c>
      <c r="F143" t="s">
        <v>37</v>
      </c>
      <c r="G143" t="s">
        <v>25</v>
      </c>
      <c r="I143" t="s">
        <v>133</v>
      </c>
      <c r="J143" t="s">
        <v>133</v>
      </c>
      <c r="K143">
        <v>798</v>
      </c>
      <c r="L143" t="s">
        <v>27</v>
      </c>
      <c r="M143" t="s">
        <v>25</v>
      </c>
      <c r="N143" t="s">
        <v>180</v>
      </c>
      <c r="O143" t="s">
        <v>181</v>
      </c>
    </row>
    <row r="144" spans="1:15" x14ac:dyDescent="0.3">
      <c r="A144" t="s">
        <v>133</v>
      </c>
      <c r="B144" t="s">
        <v>46</v>
      </c>
      <c r="C144" t="s">
        <v>211</v>
      </c>
      <c r="D144">
        <v>266</v>
      </c>
      <c r="E144" s="1" t="s">
        <v>211</v>
      </c>
      <c r="F144" t="s">
        <v>37</v>
      </c>
      <c r="G144" t="s">
        <v>25</v>
      </c>
      <c r="I144" t="s">
        <v>133</v>
      </c>
      <c r="J144" t="s">
        <v>133</v>
      </c>
      <c r="K144">
        <v>798</v>
      </c>
      <c r="L144" t="s">
        <v>27</v>
      </c>
      <c r="M144" t="s">
        <v>25</v>
      </c>
      <c r="N144" t="s">
        <v>180</v>
      </c>
      <c r="O144" t="s">
        <v>181</v>
      </c>
    </row>
    <row r="145" spans="1:15" x14ac:dyDescent="0.3">
      <c r="A145" t="s">
        <v>133</v>
      </c>
      <c r="B145" t="s">
        <v>46</v>
      </c>
      <c r="C145" t="s">
        <v>212</v>
      </c>
      <c r="D145">
        <v>120</v>
      </c>
      <c r="E145" s="1" t="s">
        <v>212</v>
      </c>
      <c r="F145" t="s">
        <v>37</v>
      </c>
      <c r="G145" t="s">
        <v>25</v>
      </c>
      <c r="I145" t="s">
        <v>133</v>
      </c>
      <c r="J145" t="s">
        <v>133</v>
      </c>
      <c r="K145">
        <v>798</v>
      </c>
      <c r="L145" t="s">
        <v>27</v>
      </c>
      <c r="M145" t="s">
        <v>25</v>
      </c>
      <c r="N145" t="s">
        <v>180</v>
      </c>
      <c r="O145" t="s">
        <v>181</v>
      </c>
    </row>
    <row r="146" spans="1:15" x14ac:dyDescent="0.3">
      <c r="A146" t="s">
        <v>133</v>
      </c>
      <c r="B146" t="s">
        <v>46</v>
      </c>
      <c r="C146" t="s">
        <v>212</v>
      </c>
      <c r="D146">
        <v>153</v>
      </c>
      <c r="E146" s="1" t="s">
        <v>212</v>
      </c>
      <c r="F146" t="s">
        <v>37</v>
      </c>
      <c r="G146" t="s">
        <v>25</v>
      </c>
      <c r="I146" t="s">
        <v>133</v>
      </c>
      <c r="J146" t="s">
        <v>133</v>
      </c>
      <c r="K146">
        <v>798</v>
      </c>
      <c r="L146" t="s">
        <v>27</v>
      </c>
      <c r="M146" t="s">
        <v>25</v>
      </c>
      <c r="N146" t="s">
        <v>180</v>
      </c>
      <c r="O146" t="s">
        <v>181</v>
      </c>
    </row>
    <row r="147" spans="1:15" x14ac:dyDescent="0.3">
      <c r="A147" t="s">
        <v>133</v>
      </c>
      <c r="B147" t="s">
        <v>46</v>
      </c>
      <c r="C147" t="s">
        <v>213</v>
      </c>
      <c r="D147">
        <v>18</v>
      </c>
      <c r="E147" s="1" t="s">
        <v>213</v>
      </c>
      <c r="F147" t="s">
        <v>37</v>
      </c>
      <c r="G147" t="s">
        <v>25</v>
      </c>
      <c r="I147" t="s">
        <v>133</v>
      </c>
      <c r="J147" t="s">
        <v>133</v>
      </c>
      <c r="K147">
        <v>798</v>
      </c>
      <c r="L147" t="s">
        <v>27</v>
      </c>
      <c r="M147" t="s">
        <v>25</v>
      </c>
      <c r="N147" t="s">
        <v>180</v>
      </c>
      <c r="O147" t="s">
        <v>181</v>
      </c>
    </row>
    <row r="148" spans="1:15" x14ac:dyDescent="0.3">
      <c r="A148" t="s">
        <v>133</v>
      </c>
      <c r="B148" t="s">
        <v>46</v>
      </c>
      <c r="C148" t="s">
        <v>213</v>
      </c>
      <c r="D148">
        <v>119</v>
      </c>
      <c r="E148" s="1" t="s">
        <v>213</v>
      </c>
      <c r="F148" t="s">
        <v>37</v>
      </c>
      <c r="G148" t="s">
        <v>25</v>
      </c>
      <c r="I148" t="s">
        <v>133</v>
      </c>
      <c r="J148" t="s">
        <v>133</v>
      </c>
      <c r="K148">
        <v>798</v>
      </c>
      <c r="L148" t="s">
        <v>27</v>
      </c>
      <c r="M148" t="s">
        <v>25</v>
      </c>
      <c r="N148" t="s">
        <v>180</v>
      </c>
      <c r="O148" t="s">
        <v>181</v>
      </c>
    </row>
    <row r="149" spans="1:15" x14ac:dyDescent="0.3">
      <c r="A149" t="s">
        <v>133</v>
      </c>
      <c r="B149" t="s">
        <v>46</v>
      </c>
      <c r="C149" t="s">
        <v>213</v>
      </c>
      <c r="D149">
        <v>140</v>
      </c>
      <c r="E149" s="1" t="s">
        <v>213</v>
      </c>
      <c r="F149" t="s">
        <v>37</v>
      </c>
      <c r="G149" t="s">
        <v>25</v>
      </c>
      <c r="I149" t="s">
        <v>133</v>
      </c>
      <c r="J149" t="s">
        <v>133</v>
      </c>
      <c r="K149">
        <v>798</v>
      </c>
      <c r="L149" t="s">
        <v>27</v>
      </c>
      <c r="M149" t="s">
        <v>25</v>
      </c>
      <c r="N149" t="s">
        <v>180</v>
      </c>
      <c r="O149" t="s">
        <v>181</v>
      </c>
    </row>
    <row r="150" spans="1:15" x14ac:dyDescent="0.3">
      <c r="A150" t="s">
        <v>133</v>
      </c>
      <c r="B150" t="s">
        <v>46</v>
      </c>
      <c r="C150" t="s">
        <v>213</v>
      </c>
      <c r="D150">
        <v>37</v>
      </c>
      <c r="E150" s="1" t="s">
        <v>213</v>
      </c>
      <c r="F150" t="s">
        <v>37</v>
      </c>
      <c r="G150" t="s">
        <v>25</v>
      </c>
      <c r="I150" t="s">
        <v>133</v>
      </c>
      <c r="J150" t="s">
        <v>133</v>
      </c>
      <c r="K150">
        <v>798</v>
      </c>
      <c r="L150" t="s">
        <v>27</v>
      </c>
      <c r="M150" t="s">
        <v>25</v>
      </c>
      <c r="N150" t="s">
        <v>180</v>
      </c>
      <c r="O150" t="s">
        <v>181</v>
      </c>
    </row>
    <row r="151" spans="1:15" x14ac:dyDescent="0.3">
      <c r="A151" t="s">
        <v>133</v>
      </c>
      <c r="B151" t="s">
        <v>46</v>
      </c>
      <c r="C151" t="s">
        <v>213</v>
      </c>
      <c r="D151">
        <v>64</v>
      </c>
      <c r="E151" s="1" t="s">
        <v>213</v>
      </c>
      <c r="F151" t="s">
        <v>37</v>
      </c>
      <c r="G151" t="s">
        <v>25</v>
      </c>
      <c r="I151" t="s">
        <v>133</v>
      </c>
      <c r="J151" t="s">
        <v>133</v>
      </c>
      <c r="K151">
        <v>798</v>
      </c>
      <c r="L151" t="s">
        <v>27</v>
      </c>
      <c r="M151" t="s">
        <v>25</v>
      </c>
      <c r="N151" t="s">
        <v>180</v>
      </c>
      <c r="O151" t="s">
        <v>181</v>
      </c>
    </row>
    <row r="152" spans="1:15" x14ac:dyDescent="0.3">
      <c r="A152" t="s">
        <v>133</v>
      </c>
      <c r="B152" t="s">
        <v>46</v>
      </c>
      <c r="C152" t="s">
        <v>213</v>
      </c>
      <c r="D152">
        <v>80</v>
      </c>
      <c r="E152" s="1" t="s">
        <v>213</v>
      </c>
      <c r="F152" t="s">
        <v>37</v>
      </c>
      <c r="G152" t="s">
        <v>25</v>
      </c>
      <c r="I152" t="s">
        <v>133</v>
      </c>
      <c r="J152" t="s">
        <v>133</v>
      </c>
      <c r="K152">
        <v>798</v>
      </c>
      <c r="L152" t="s">
        <v>27</v>
      </c>
      <c r="M152" t="s">
        <v>25</v>
      </c>
      <c r="N152" t="s">
        <v>180</v>
      </c>
      <c r="O152" t="s">
        <v>181</v>
      </c>
    </row>
    <row r="153" spans="1:15" x14ac:dyDescent="0.3">
      <c r="A153" t="s">
        <v>133</v>
      </c>
      <c r="B153" t="s">
        <v>46</v>
      </c>
      <c r="C153" t="s">
        <v>213</v>
      </c>
      <c r="D153">
        <v>99</v>
      </c>
      <c r="E153" s="1" t="s">
        <v>213</v>
      </c>
      <c r="F153" t="s">
        <v>37</v>
      </c>
      <c r="G153" t="s">
        <v>25</v>
      </c>
      <c r="I153" t="s">
        <v>133</v>
      </c>
      <c r="J153" t="s">
        <v>133</v>
      </c>
      <c r="K153">
        <v>798</v>
      </c>
      <c r="L153" t="s">
        <v>27</v>
      </c>
      <c r="M153" t="s">
        <v>25</v>
      </c>
      <c r="N153" t="s">
        <v>180</v>
      </c>
      <c r="O153" t="s">
        <v>181</v>
      </c>
    </row>
    <row r="154" spans="1:15" x14ac:dyDescent="0.3">
      <c r="A154" t="s">
        <v>133</v>
      </c>
      <c r="B154" t="s">
        <v>46</v>
      </c>
      <c r="C154" t="s">
        <v>214</v>
      </c>
      <c r="D154">
        <v>89</v>
      </c>
      <c r="E154" s="1" t="s">
        <v>214</v>
      </c>
      <c r="F154" t="s">
        <v>37</v>
      </c>
      <c r="G154" t="s">
        <v>25</v>
      </c>
      <c r="I154" t="s">
        <v>133</v>
      </c>
      <c r="J154" t="s">
        <v>133</v>
      </c>
      <c r="K154">
        <v>798</v>
      </c>
      <c r="L154" t="s">
        <v>27</v>
      </c>
      <c r="M154" t="s">
        <v>25</v>
      </c>
      <c r="N154" t="s">
        <v>180</v>
      </c>
      <c r="O154" t="s">
        <v>181</v>
      </c>
    </row>
    <row r="155" spans="1:15" x14ac:dyDescent="0.3">
      <c r="A155" t="s">
        <v>133</v>
      </c>
      <c r="B155" t="s">
        <v>46</v>
      </c>
      <c r="C155" t="s">
        <v>214</v>
      </c>
      <c r="D155">
        <v>13</v>
      </c>
      <c r="E155" s="1" t="s">
        <v>214</v>
      </c>
      <c r="F155" t="s">
        <v>37</v>
      </c>
      <c r="G155" t="s">
        <v>25</v>
      </c>
      <c r="I155" t="s">
        <v>133</v>
      </c>
      <c r="J155" t="s">
        <v>133</v>
      </c>
      <c r="K155">
        <v>798</v>
      </c>
      <c r="L155" t="s">
        <v>27</v>
      </c>
      <c r="N155" t="s">
        <v>180</v>
      </c>
      <c r="O155" t="s">
        <v>181</v>
      </c>
    </row>
    <row r="156" spans="1:15" x14ac:dyDescent="0.3">
      <c r="A156" t="s">
        <v>133</v>
      </c>
      <c r="B156" t="s">
        <v>46</v>
      </c>
      <c r="C156" t="s">
        <v>214</v>
      </c>
      <c r="D156">
        <v>35</v>
      </c>
      <c r="E156" s="1" t="s">
        <v>214</v>
      </c>
      <c r="F156" t="s">
        <v>37</v>
      </c>
      <c r="G156" t="s">
        <v>25</v>
      </c>
      <c r="I156" t="s">
        <v>133</v>
      </c>
      <c r="J156" t="s">
        <v>133</v>
      </c>
      <c r="K156">
        <v>798</v>
      </c>
      <c r="L156" t="s">
        <v>27</v>
      </c>
      <c r="M156" t="s">
        <v>25</v>
      </c>
      <c r="N156" t="s">
        <v>180</v>
      </c>
      <c r="O156" t="s">
        <v>181</v>
      </c>
    </row>
    <row r="157" spans="1:15" x14ac:dyDescent="0.3">
      <c r="A157" t="s">
        <v>133</v>
      </c>
      <c r="B157" t="s">
        <v>46</v>
      </c>
      <c r="C157" t="s">
        <v>214</v>
      </c>
      <c r="D157">
        <v>53</v>
      </c>
      <c r="E157" s="1" t="s">
        <v>214</v>
      </c>
      <c r="F157" t="s">
        <v>37</v>
      </c>
      <c r="G157" t="s">
        <v>25</v>
      </c>
      <c r="I157" t="s">
        <v>133</v>
      </c>
      <c r="J157" t="s">
        <v>133</v>
      </c>
      <c r="K157">
        <v>798</v>
      </c>
      <c r="L157" t="s">
        <v>27</v>
      </c>
      <c r="M157" t="s">
        <v>25</v>
      </c>
      <c r="N157" t="s">
        <v>180</v>
      </c>
      <c r="O157" t="s">
        <v>181</v>
      </c>
    </row>
    <row r="158" spans="1:15" x14ac:dyDescent="0.3">
      <c r="A158" t="s">
        <v>133</v>
      </c>
      <c r="B158" t="s">
        <v>46</v>
      </c>
      <c r="C158" t="s">
        <v>214</v>
      </c>
      <c r="D158">
        <v>71</v>
      </c>
      <c r="E158" s="1" t="s">
        <v>214</v>
      </c>
      <c r="F158" t="s">
        <v>37</v>
      </c>
      <c r="G158" t="s">
        <v>25</v>
      </c>
      <c r="I158" t="s">
        <v>133</v>
      </c>
      <c r="J158" t="s">
        <v>133</v>
      </c>
      <c r="K158">
        <v>798</v>
      </c>
      <c r="L158" t="s">
        <v>27</v>
      </c>
      <c r="M158" t="s">
        <v>25</v>
      </c>
      <c r="N158" t="s">
        <v>180</v>
      </c>
      <c r="O158" t="s">
        <v>181</v>
      </c>
    </row>
    <row r="159" spans="1:15" x14ac:dyDescent="0.3">
      <c r="A159" t="s">
        <v>133</v>
      </c>
      <c r="B159" t="s">
        <v>46</v>
      </c>
      <c r="C159" t="s">
        <v>214</v>
      </c>
      <c r="D159">
        <v>105</v>
      </c>
      <c r="E159" s="1" t="s">
        <v>214</v>
      </c>
      <c r="F159" t="s">
        <v>37</v>
      </c>
      <c r="G159" t="s">
        <v>25</v>
      </c>
      <c r="I159" t="s">
        <v>133</v>
      </c>
      <c r="J159" t="s">
        <v>133</v>
      </c>
      <c r="K159">
        <v>798</v>
      </c>
      <c r="L159" t="s">
        <v>27</v>
      </c>
      <c r="M159" t="s">
        <v>25</v>
      </c>
      <c r="N159" t="s">
        <v>180</v>
      </c>
      <c r="O159" t="s">
        <v>181</v>
      </c>
    </row>
    <row r="160" spans="1:15" x14ac:dyDescent="0.3">
      <c r="A160" t="s">
        <v>133</v>
      </c>
      <c r="B160" t="s">
        <v>46</v>
      </c>
      <c r="C160" t="s">
        <v>214</v>
      </c>
      <c r="D160">
        <v>129</v>
      </c>
      <c r="E160" s="1" t="s">
        <v>214</v>
      </c>
      <c r="F160" t="s">
        <v>37</v>
      </c>
      <c r="G160" t="s">
        <v>25</v>
      </c>
      <c r="I160" t="s">
        <v>133</v>
      </c>
      <c r="J160" t="s">
        <v>133</v>
      </c>
      <c r="K160">
        <v>798</v>
      </c>
      <c r="L160" t="s">
        <v>27</v>
      </c>
      <c r="M160" t="s">
        <v>25</v>
      </c>
      <c r="N160" t="s">
        <v>180</v>
      </c>
      <c r="O160" t="s">
        <v>181</v>
      </c>
    </row>
    <row r="161" spans="1:15" x14ac:dyDescent="0.3">
      <c r="A161" t="s">
        <v>133</v>
      </c>
      <c r="B161" t="s">
        <v>46</v>
      </c>
      <c r="C161" t="s">
        <v>214</v>
      </c>
      <c r="D161">
        <v>149</v>
      </c>
      <c r="E161" s="1" t="s">
        <v>214</v>
      </c>
      <c r="F161" t="s">
        <v>37</v>
      </c>
      <c r="G161" t="s">
        <v>25</v>
      </c>
      <c r="I161" t="s">
        <v>133</v>
      </c>
      <c r="J161" t="s">
        <v>133</v>
      </c>
      <c r="K161">
        <v>798</v>
      </c>
      <c r="L161" t="s">
        <v>27</v>
      </c>
      <c r="M161" t="s">
        <v>25</v>
      </c>
      <c r="N161" t="s">
        <v>180</v>
      </c>
      <c r="O161" t="s">
        <v>181</v>
      </c>
    </row>
    <row r="162" spans="1:15" x14ac:dyDescent="0.3">
      <c r="A162" t="s">
        <v>133</v>
      </c>
      <c r="B162" t="s">
        <v>46</v>
      </c>
      <c r="C162" t="s">
        <v>214</v>
      </c>
      <c r="D162">
        <v>170</v>
      </c>
      <c r="E162" s="1" t="s">
        <v>214</v>
      </c>
      <c r="F162" t="s">
        <v>37</v>
      </c>
      <c r="G162" t="s">
        <v>25</v>
      </c>
      <c r="I162" t="s">
        <v>133</v>
      </c>
      <c r="J162" t="s">
        <v>133</v>
      </c>
      <c r="K162">
        <v>798</v>
      </c>
      <c r="L162" t="s">
        <v>27</v>
      </c>
      <c r="M162" t="s">
        <v>25</v>
      </c>
      <c r="N162" t="s">
        <v>180</v>
      </c>
      <c r="O162" t="s">
        <v>181</v>
      </c>
    </row>
    <row r="163" spans="1:15" x14ac:dyDescent="0.3">
      <c r="A163" t="s">
        <v>133</v>
      </c>
      <c r="B163" t="s">
        <v>46</v>
      </c>
      <c r="C163" t="s">
        <v>214</v>
      </c>
      <c r="D163">
        <v>191</v>
      </c>
      <c r="E163" s="1" t="s">
        <v>214</v>
      </c>
      <c r="F163" t="s">
        <v>37</v>
      </c>
      <c r="G163" t="s">
        <v>25</v>
      </c>
      <c r="I163" t="s">
        <v>133</v>
      </c>
      <c r="J163" t="s">
        <v>133</v>
      </c>
      <c r="K163">
        <v>798</v>
      </c>
      <c r="L163" t="s">
        <v>27</v>
      </c>
      <c r="M163" t="s">
        <v>25</v>
      </c>
      <c r="N163" t="s">
        <v>180</v>
      </c>
      <c r="O163" t="s">
        <v>181</v>
      </c>
    </row>
    <row r="164" spans="1:15" x14ac:dyDescent="0.3">
      <c r="A164" t="s">
        <v>133</v>
      </c>
      <c r="B164" t="s">
        <v>46</v>
      </c>
      <c r="C164" t="s">
        <v>215</v>
      </c>
      <c r="D164">
        <v>23</v>
      </c>
      <c r="E164" s="1" t="s">
        <v>215</v>
      </c>
      <c r="F164" t="s">
        <v>37</v>
      </c>
      <c r="G164" t="s">
        <v>25</v>
      </c>
      <c r="I164" t="s">
        <v>133</v>
      </c>
      <c r="J164" t="s">
        <v>133</v>
      </c>
      <c r="K164">
        <v>798</v>
      </c>
      <c r="L164" t="s">
        <v>27</v>
      </c>
      <c r="M164" t="s">
        <v>25</v>
      </c>
      <c r="N164" t="s">
        <v>180</v>
      </c>
      <c r="O164" t="s">
        <v>181</v>
      </c>
    </row>
    <row r="165" spans="1:15" x14ac:dyDescent="0.3">
      <c r="A165" t="s">
        <v>133</v>
      </c>
      <c r="B165" t="s">
        <v>46</v>
      </c>
      <c r="C165" t="s">
        <v>215</v>
      </c>
      <c r="D165">
        <v>52</v>
      </c>
      <c r="E165" s="1" t="s">
        <v>215</v>
      </c>
      <c r="F165" t="s">
        <v>37</v>
      </c>
      <c r="G165" t="s">
        <v>25</v>
      </c>
      <c r="I165" t="s">
        <v>133</v>
      </c>
      <c r="J165" t="s">
        <v>133</v>
      </c>
      <c r="K165">
        <v>798</v>
      </c>
      <c r="L165" t="s">
        <v>27</v>
      </c>
      <c r="M165" t="s">
        <v>25</v>
      </c>
      <c r="N165" t="s">
        <v>180</v>
      </c>
      <c r="O165" t="s">
        <v>181</v>
      </c>
    </row>
    <row r="166" spans="1:15" x14ac:dyDescent="0.3">
      <c r="A166" t="s">
        <v>133</v>
      </c>
      <c r="B166" t="s">
        <v>46</v>
      </c>
      <c r="C166" t="s">
        <v>215</v>
      </c>
      <c r="D166">
        <v>83</v>
      </c>
      <c r="E166" s="1" t="s">
        <v>215</v>
      </c>
      <c r="F166" t="s">
        <v>37</v>
      </c>
      <c r="G166" t="s">
        <v>25</v>
      </c>
      <c r="I166" t="s">
        <v>133</v>
      </c>
      <c r="J166" t="s">
        <v>133</v>
      </c>
      <c r="K166">
        <v>798</v>
      </c>
      <c r="L166" t="s">
        <v>27</v>
      </c>
      <c r="M166" t="s">
        <v>25</v>
      </c>
      <c r="N166" t="s">
        <v>180</v>
      </c>
      <c r="O166" t="s">
        <v>181</v>
      </c>
    </row>
    <row r="167" spans="1:15" x14ac:dyDescent="0.3">
      <c r="A167" t="s">
        <v>133</v>
      </c>
      <c r="B167" t="s">
        <v>46</v>
      </c>
      <c r="C167" t="s">
        <v>215</v>
      </c>
      <c r="D167">
        <v>111</v>
      </c>
      <c r="E167" s="1" t="s">
        <v>215</v>
      </c>
      <c r="F167" t="s">
        <v>37</v>
      </c>
      <c r="G167" t="s">
        <v>25</v>
      </c>
      <c r="I167" t="s">
        <v>133</v>
      </c>
      <c r="J167" t="s">
        <v>133</v>
      </c>
      <c r="K167">
        <v>798</v>
      </c>
      <c r="L167" t="s">
        <v>27</v>
      </c>
      <c r="M167" t="s">
        <v>25</v>
      </c>
      <c r="N167" t="s">
        <v>180</v>
      </c>
      <c r="O167" t="s">
        <v>181</v>
      </c>
    </row>
    <row r="168" spans="1:15" x14ac:dyDescent="0.3">
      <c r="A168" t="s">
        <v>133</v>
      </c>
      <c r="B168" t="s">
        <v>46</v>
      </c>
      <c r="C168" t="s">
        <v>216</v>
      </c>
      <c r="D168">
        <v>21</v>
      </c>
      <c r="E168" s="1" t="s">
        <v>216</v>
      </c>
      <c r="F168" t="s">
        <v>37</v>
      </c>
      <c r="G168" t="s">
        <v>25</v>
      </c>
      <c r="I168" t="s">
        <v>133</v>
      </c>
      <c r="J168" t="s">
        <v>133</v>
      </c>
      <c r="K168">
        <v>798</v>
      </c>
      <c r="L168" t="s">
        <v>27</v>
      </c>
      <c r="M168" t="s">
        <v>25</v>
      </c>
      <c r="N168" t="s">
        <v>180</v>
      </c>
      <c r="O168" t="s">
        <v>181</v>
      </c>
    </row>
    <row r="169" spans="1:15" x14ac:dyDescent="0.3">
      <c r="A169" t="s">
        <v>133</v>
      </c>
      <c r="B169" t="s">
        <v>46</v>
      </c>
      <c r="C169" t="s">
        <v>216</v>
      </c>
      <c r="D169">
        <v>48</v>
      </c>
      <c r="E169" s="1" t="s">
        <v>216</v>
      </c>
      <c r="F169" t="s">
        <v>37</v>
      </c>
      <c r="G169" t="s">
        <v>25</v>
      </c>
      <c r="I169" t="s">
        <v>133</v>
      </c>
      <c r="J169" t="s">
        <v>133</v>
      </c>
      <c r="K169">
        <v>798</v>
      </c>
      <c r="L169" t="s">
        <v>27</v>
      </c>
      <c r="M169" t="s">
        <v>25</v>
      </c>
      <c r="N169" t="s">
        <v>180</v>
      </c>
      <c r="O169" t="s">
        <v>181</v>
      </c>
    </row>
    <row r="170" spans="1:15" x14ac:dyDescent="0.3">
      <c r="A170" t="s">
        <v>133</v>
      </c>
      <c r="B170" t="s">
        <v>46</v>
      </c>
      <c r="C170" t="s">
        <v>216</v>
      </c>
      <c r="D170">
        <v>77</v>
      </c>
      <c r="E170" s="1" t="s">
        <v>216</v>
      </c>
      <c r="F170" t="s">
        <v>37</v>
      </c>
      <c r="G170" t="s">
        <v>25</v>
      </c>
      <c r="I170" t="s">
        <v>133</v>
      </c>
      <c r="J170" t="s">
        <v>133</v>
      </c>
      <c r="K170">
        <v>798</v>
      </c>
      <c r="L170" t="s">
        <v>27</v>
      </c>
      <c r="M170" t="s">
        <v>25</v>
      </c>
      <c r="N170" t="s">
        <v>180</v>
      </c>
      <c r="O170" t="s">
        <v>181</v>
      </c>
    </row>
    <row r="171" spans="1:15" x14ac:dyDescent="0.3">
      <c r="A171" t="s">
        <v>133</v>
      </c>
      <c r="B171" t="s">
        <v>46</v>
      </c>
      <c r="C171" t="s">
        <v>216</v>
      </c>
      <c r="D171">
        <v>112</v>
      </c>
      <c r="E171" s="1" t="s">
        <v>216</v>
      </c>
      <c r="F171" t="s">
        <v>37</v>
      </c>
      <c r="G171" t="s">
        <v>25</v>
      </c>
      <c r="I171" t="s">
        <v>133</v>
      </c>
      <c r="J171" t="s">
        <v>133</v>
      </c>
      <c r="K171">
        <v>798</v>
      </c>
      <c r="L171" t="s">
        <v>27</v>
      </c>
      <c r="M171" t="s">
        <v>25</v>
      </c>
      <c r="N171" t="s">
        <v>180</v>
      </c>
      <c r="O171" t="s">
        <v>181</v>
      </c>
    </row>
    <row r="172" spans="1:15" x14ac:dyDescent="0.3">
      <c r="A172" t="s">
        <v>133</v>
      </c>
      <c r="B172" t="s">
        <v>46</v>
      </c>
      <c r="C172" t="s">
        <v>216</v>
      </c>
      <c r="D172">
        <v>152</v>
      </c>
      <c r="E172" s="1" t="s">
        <v>216</v>
      </c>
      <c r="F172" t="s">
        <v>37</v>
      </c>
      <c r="G172" t="s">
        <v>25</v>
      </c>
      <c r="I172" t="s">
        <v>133</v>
      </c>
      <c r="J172" t="s">
        <v>133</v>
      </c>
      <c r="K172">
        <v>798</v>
      </c>
      <c r="L172" t="s">
        <v>27</v>
      </c>
      <c r="M172" t="s">
        <v>25</v>
      </c>
      <c r="N172" t="s">
        <v>180</v>
      </c>
      <c r="O172" t="s">
        <v>181</v>
      </c>
    </row>
    <row r="173" spans="1:15" x14ac:dyDescent="0.3">
      <c r="A173" t="s">
        <v>133</v>
      </c>
      <c r="B173" t="s">
        <v>46</v>
      </c>
      <c r="C173" t="s">
        <v>216</v>
      </c>
      <c r="D173">
        <v>194</v>
      </c>
      <c r="E173" s="1" t="s">
        <v>216</v>
      </c>
      <c r="F173" t="s">
        <v>37</v>
      </c>
      <c r="G173" t="s">
        <v>25</v>
      </c>
      <c r="I173" t="s">
        <v>133</v>
      </c>
      <c r="J173" t="s">
        <v>133</v>
      </c>
      <c r="K173">
        <v>798</v>
      </c>
      <c r="L173" t="s">
        <v>27</v>
      </c>
      <c r="M173" t="s">
        <v>25</v>
      </c>
      <c r="N173" t="s">
        <v>180</v>
      </c>
      <c r="O173" t="s">
        <v>181</v>
      </c>
    </row>
    <row r="174" spans="1:15" x14ac:dyDescent="0.3">
      <c r="A174" t="s">
        <v>133</v>
      </c>
      <c r="B174" t="s">
        <v>46</v>
      </c>
      <c r="C174" t="s">
        <v>216</v>
      </c>
      <c r="D174">
        <v>234</v>
      </c>
      <c r="E174" s="1" t="s">
        <v>216</v>
      </c>
      <c r="F174" t="s">
        <v>37</v>
      </c>
      <c r="G174" t="s">
        <v>25</v>
      </c>
      <c r="I174" t="s">
        <v>133</v>
      </c>
      <c r="J174" t="s">
        <v>133</v>
      </c>
      <c r="K174">
        <v>798</v>
      </c>
      <c r="L174" t="s">
        <v>27</v>
      </c>
      <c r="M174" t="s">
        <v>25</v>
      </c>
      <c r="N174" t="s">
        <v>180</v>
      </c>
      <c r="O174" t="s">
        <v>181</v>
      </c>
    </row>
    <row r="175" spans="1:15" x14ac:dyDescent="0.3">
      <c r="A175" t="s">
        <v>133</v>
      </c>
      <c r="B175" t="s">
        <v>46</v>
      </c>
      <c r="C175" t="s">
        <v>216</v>
      </c>
      <c r="D175">
        <v>282</v>
      </c>
      <c r="E175" s="1" t="s">
        <v>216</v>
      </c>
      <c r="F175" t="s">
        <v>37</v>
      </c>
      <c r="G175" t="s">
        <v>25</v>
      </c>
      <c r="I175" t="s">
        <v>133</v>
      </c>
      <c r="J175" t="s">
        <v>133</v>
      </c>
      <c r="K175">
        <v>798</v>
      </c>
      <c r="L175" t="s">
        <v>27</v>
      </c>
      <c r="M175" t="s">
        <v>25</v>
      </c>
      <c r="N175" t="s">
        <v>180</v>
      </c>
      <c r="O175" t="s">
        <v>181</v>
      </c>
    </row>
    <row r="176" spans="1:15" x14ac:dyDescent="0.3">
      <c r="A176" t="s">
        <v>133</v>
      </c>
      <c r="B176" t="s">
        <v>46</v>
      </c>
      <c r="C176" t="s">
        <v>216</v>
      </c>
      <c r="D176">
        <v>332</v>
      </c>
      <c r="E176" s="1" t="s">
        <v>216</v>
      </c>
      <c r="F176" t="s">
        <v>37</v>
      </c>
      <c r="G176" t="s">
        <v>25</v>
      </c>
      <c r="I176" t="s">
        <v>133</v>
      </c>
      <c r="J176" t="s">
        <v>133</v>
      </c>
      <c r="K176">
        <v>798</v>
      </c>
      <c r="L176" t="s">
        <v>27</v>
      </c>
      <c r="M176" t="s">
        <v>25</v>
      </c>
      <c r="N176" t="s">
        <v>180</v>
      </c>
      <c r="O176" t="s">
        <v>181</v>
      </c>
    </row>
    <row r="177" spans="1:15" x14ac:dyDescent="0.3">
      <c r="A177" t="s">
        <v>133</v>
      </c>
      <c r="B177" t="s">
        <v>46</v>
      </c>
      <c r="C177" t="s">
        <v>217</v>
      </c>
      <c r="D177">
        <v>25</v>
      </c>
      <c r="E177" s="1" t="s">
        <v>217</v>
      </c>
      <c r="F177" t="s">
        <v>37</v>
      </c>
      <c r="G177" t="s">
        <v>25</v>
      </c>
      <c r="I177" t="s">
        <v>133</v>
      </c>
      <c r="J177" t="s">
        <v>133</v>
      </c>
      <c r="K177">
        <v>798</v>
      </c>
      <c r="L177" t="s">
        <v>27</v>
      </c>
      <c r="M177" t="s">
        <v>25</v>
      </c>
      <c r="N177" t="s">
        <v>180</v>
      </c>
      <c r="O177" t="s">
        <v>181</v>
      </c>
    </row>
    <row r="178" spans="1:15" x14ac:dyDescent="0.3">
      <c r="A178" t="s">
        <v>133</v>
      </c>
      <c r="B178" t="s">
        <v>46</v>
      </c>
      <c r="C178" t="s">
        <v>217</v>
      </c>
      <c r="D178">
        <v>101</v>
      </c>
      <c r="E178" s="1" t="s">
        <v>217</v>
      </c>
      <c r="F178" t="s">
        <v>37</v>
      </c>
      <c r="G178" t="s">
        <v>25</v>
      </c>
      <c r="I178" t="s">
        <v>133</v>
      </c>
      <c r="J178" t="s">
        <v>133</v>
      </c>
      <c r="K178">
        <v>798</v>
      </c>
      <c r="L178" t="s">
        <v>27</v>
      </c>
      <c r="M178" t="s">
        <v>25</v>
      </c>
      <c r="N178" t="s">
        <v>180</v>
      </c>
      <c r="O178" t="s">
        <v>181</v>
      </c>
    </row>
    <row r="179" spans="1:15" x14ac:dyDescent="0.3">
      <c r="A179" t="s">
        <v>133</v>
      </c>
      <c r="B179" t="s">
        <v>46</v>
      </c>
      <c r="C179" t="s">
        <v>218</v>
      </c>
      <c r="D179">
        <v>56</v>
      </c>
      <c r="E179" s="1" t="s">
        <v>218</v>
      </c>
      <c r="F179" t="s">
        <v>37</v>
      </c>
      <c r="G179" t="s">
        <v>25</v>
      </c>
      <c r="I179" t="s">
        <v>133</v>
      </c>
      <c r="J179" t="s">
        <v>133</v>
      </c>
      <c r="K179">
        <v>798</v>
      </c>
      <c r="L179" t="s">
        <v>27</v>
      </c>
      <c r="M179" t="s">
        <v>25</v>
      </c>
      <c r="N179" t="s">
        <v>180</v>
      </c>
      <c r="O179" t="s">
        <v>181</v>
      </c>
    </row>
    <row r="180" spans="1:15" x14ac:dyDescent="0.3">
      <c r="A180" t="s">
        <v>133</v>
      </c>
      <c r="B180" t="s">
        <v>46</v>
      </c>
      <c r="C180" t="s">
        <v>218</v>
      </c>
      <c r="D180">
        <v>18</v>
      </c>
      <c r="E180" s="1" t="s">
        <v>218</v>
      </c>
      <c r="F180" t="s">
        <v>37</v>
      </c>
      <c r="G180" t="s">
        <v>25</v>
      </c>
      <c r="I180" t="s">
        <v>133</v>
      </c>
      <c r="J180" t="s">
        <v>133</v>
      </c>
      <c r="K180">
        <v>798</v>
      </c>
      <c r="L180" t="s">
        <v>27</v>
      </c>
      <c r="N180" t="s">
        <v>180</v>
      </c>
      <c r="O180" t="s">
        <v>181</v>
      </c>
    </row>
    <row r="181" spans="1:15" x14ac:dyDescent="0.3">
      <c r="A181" t="s">
        <v>133</v>
      </c>
      <c r="B181" t="s">
        <v>46</v>
      </c>
      <c r="C181" t="s">
        <v>218</v>
      </c>
      <c r="D181">
        <v>108</v>
      </c>
      <c r="E181" s="1" t="s">
        <v>218</v>
      </c>
      <c r="F181" t="s">
        <v>37</v>
      </c>
      <c r="G181" t="s">
        <v>25</v>
      </c>
      <c r="I181" t="s">
        <v>133</v>
      </c>
      <c r="J181" t="s">
        <v>133</v>
      </c>
      <c r="K181">
        <v>798</v>
      </c>
      <c r="L181" t="s">
        <v>27</v>
      </c>
      <c r="M181" t="s">
        <v>25</v>
      </c>
      <c r="N181" t="s">
        <v>180</v>
      </c>
      <c r="O181" t="s">
        <v>181</v>
      </c>
    </row>
    <row r="182" spans="1:15" x14ac:dyDescent="0.3">
      <c r="A182" t="s">
        <v>133</v>
      </c>
      <c r="B182" t="s">
        <v>46</v>
      </c>
      <c r="C182" t="s">
        <v>218</v>
      </c>
      <c r="D182">
        <v>140</v>
      </c>
      <c r="E182" s="1" t="s">
        <v>218</v>
      </c>
      <c r="F182" t="s">
        <v>37</v>
      </c>
      <c r="G182" t="s">
        <v>25</v>
      </c>
      <c r="I182" t="s">
        <v>133</v>
      </c>
      <c r="J182" t="s">
        <v>133</v>
      </c>
      <c r="K182">
        <v>798</v>
      </c>
      <c r="L182" t="s">
        <v>27</v>
      </c>
      <c r="M182" t="s">
        <v>25</v>
      </c>
      <c r="N182" t="s">
        <v>180</v>
      </c>
      <c r="O182" t="s">
        <v>181</v>
      </c>
    </row>
    <row r="183" spans="1:15" x14ac:dyDescent="0.3">
      <c r="A183" t="s">
        <v>133</v>
      </c>
      <c r="B183" t="s">
        <v>46</v>
      </c>
      <c r="C183" t="s">
        <v>218</v>
      </c>
      <c r="D183">
        <v>174</v>
      </c>
      <c r="E183" s="1" t="s">
        <v>218</v>
      </c>
      <c r="F183" t="s">
        <v>37</v>
      </c>
      <c r="G183" t="s">
        <v>25</v>
      </c>
      <c r="I183" t="s">
        <v>133</v>
      </c>
      <c r="J183" t="s">
        <v>133</v>
      </c>
      <c r="K183">
        <v>798</v>
      </c>
      <c r="L183" t="s">
        <v>27</v>
      </c>
      <c r="M183" t="s">
        <v>25</v>
      </c>
      <c r="N183" t="s">
        <v>180</v>
      </c>
      <c r="O183" t="s">
        <v>181</v>
      </c>
    </row>
    <row r="184" spans="1:15" x14ac:dyDescent="0.3">
      <c r="A184" t="s">
        <v>133</v>
      </c>
      <c r="B184" t="s">
        <v>46</v>
      </c>
      <c r="C184" t="s">
        <v>218</v>
      </c>
      <c r="D184">
        <v>205</v>
      </c>
      <c r="E184" s="1" t="s">
        <v>218</v>
      </c>
      <c r="F184" t="s">
        <v>37</v>
      </c>
      <c r="G184" t="s">
        <v>25</v>
      </c>
      <c r="I184" t="s">
        <v>133</v>
      </c>
      <c r="J184" t="s">
        <v>133</v>
      </c>
      <c r="K184">
        <v>798</v>
      </c>
      <c r="L184" t="s">
        <v>27</v>
      </c>
      <c r="M184" t="s">
        <v>25</v>
      </c>
      <c r="N184" t="s">
        <v>180</v>
      </c>
      <c r="O184" t="s">
        <v>181</v>
      </c>
    </row>
    <row r="185" spans="1:15" x14ac:dyDescent="0.3">
      <c r="A185" t="s">
        <v>133</v>
      </c>
      <c r="B185" t="s">
        <v>46</v>
      </c>
      <c r="C185" t="s">
        <v>218</v>
      </c>
      <c r="D185">
        <v>250</v>
      </c>
      <c r="E185" s="1" t="s">
        <v>218</v>
      </c>
      <c r="F185" t="s">
        <v>37</v>
      </c>
      <c r="G185" t="s">
        <v>25</v>
      </c>
      <c r="I185" t="s">
        <v>133</v>
      </c>
      <c r="J185" t="s">
        <v>133</v>
      </c>
      <c r="K185">
        <v>798</v>
      </c>
      <c r="L185" t="s">
        <v>27</v>
      </c>
      <c r="M185" t="s">
        <v>25</v>
      </c>
      <c r="N185" t="s">
        <v>180</v>
      </c>
      <c r="O185" t="s">
        <v>181</v>
      </c>
    </row>
    <row r="186" spans="1:15" x14ac:dyDescent="0.3">
      <c r="A186" t="s">
        <v>133</v>
      </c>
      <c r="B186" t="s">
        <v>46</v>
      </c>
      <c r="C186" t="s">
        <v>218</v>
      </c>
      <c r="D186">
        <v>287</v>
      </c>
      <c r="E186" s="1" t="s">
        <v>218</v>
      </c>
      <c r="F186" t="s">
        <v>37</v>
      </c>
      <c r="G186" t="s">
        <v>25</v>
      </c>
      <c r="I186" t="s">
        <v>133</v>
      </c>
      <c r="J186" t="s">
        <v>133</v>
      </c>
      <c r="K186">
        <v>798</v>
      </c>
      <c r="L186" t="s">
        <v>27</v>
      </c>
      <c r="M186" t="s">
        <v>25</v>
      </c>
      <c r="N186" t="s">
        <v>180</v>
      </c>
      <c r="O186" t="s">
        <v>181</v>
      </c>
    </row>
    <row r="187" spans="1:15" x14ac:dyDescent="0.3">
      <c r="A187" t="s">
        <v>133</v>
      </c>
      <c r="B187" t="s">
        <v>46</v>
      </c>
      <c r="C187" t="s">
        <v>218</v>
      </c>
      <c r="D187">
        <v>295</v>
      </c>
      <c r="E187" s="1" t="s">
        <v>218</v>
      </c>
      <c r="F187" t="s">
        <v>37</v>
      </c>
      <c r="G187" t="s">
        <v>25</v>
      </c>
      <c r="I187" t="s">
        <v>133</v>
      </c>
      <c r="J187" t="s">
        <v>133</v>
      </c>
      <c r="K187">
        <v>798</v>
      </c>
      <c r="L187" t="s">
        <v>27</v>
      </c>
      <c r="M187" t="s">
        <v>25</v>
      </c>
      <c r="N187" t="s">
        <v>180</v>
      </c>
      <c r="O187" t="s">
        <v>181</v>
      </c>
    </row>
    <row r="188" spans="1:15" x14ac:dyDescent="0.3">
      <c r="A188" t="s">
        <v>133</v>
      </c>
      <c r="B188" t="s">
        <v>46</v>
      </c>
      <c r="C188" t="s">
        <v>218</v>
      </c>
      <c r="D188">
        <v>77</v>
      </c>
      <c r="E188" s="1" t="s">
        <v>218</v>
      </c>
      <c r="F188" t="s">
        <v>37</v>
      </c>
      <c r="G188" t="s">
        <v>25</v>
      </c>
      <c r="I188" t="s">
        <v>133</v>
      </c>
      <c r="J188" t="s">
        <v>133</v>
      </c>
      <c r="K188">
        <v>798</v>
      </c>
      <c r="L188" t="s">
        <v>27</v>
      </c>
      <c r="M188" t="s">
        <v>25</v>
      </c>
      <c r="N188" t="s">
        <v>180</v>
      </c>
      <c r="O188" t="s">
        <v>181</v>
      </c>
    </row>
    <row r="189" spans="1:15" x14ac:dyDescent="0.3">
      <c r="A189" t="s">
        <v>133</v>
      </c>
      <c r="B189" t="s">
        <v>46</v>
      </c>
      <c r="C189" t="s">
        <v>219</v>
      </c>
      <c r="D189">
        <v>21</v>
      </c>
      <c r="E189" s="1" t="s">
        <v>219</v>
      </c>
      <c r="F189" t="s">
        <v>37</v>
      </c>
      <c r="G189" t="s">
        <v>25</v>
      </c>
      <c r="I189" t="s">
        <v>133</v>
      </c>
      <c r="J189" t="s">
        <v>133</v>
      </c>
      <c r="K189">
        <v>798</v>
      </c>
      <c r="L189" t="s">
        <v>27</v>
      </c>
      <c r="M189" t="s">
        <v>25</v>
      </c>
      <c r="N189" t="s">
        <v>180</v>
      </c>
      <c r="O189" t="s">
        <v>181</v>
      </c>
    </row>
    <row r="190" spans="1:15" x14ac:dyDescent="0.3">
      <c r="A190" t="s">
        <v>133</v>
      </c>
      <c r="B190" t="s">
        <v>46</v>
      </c>
      <c r="C190" t="s">
        <v>219</v>
      </c>
      <c r="D190">
        <v>30</v>
      </c>
      <c r="E190" s="1" t="s">
        <v>219</v>
      </c>
      <c r="F190" t="s">
        <v>37</v>
      </c>
      <c r="G190" t="s">
        <v>25</v>
      </c>
      <c r="I190" t="s">
        <v>133</v>
      </c>
      <c r="J190" t="s">
        <v>133</v>
      </c>
      <c r="K190">
        <v>798</v>
      </c>
      <c r="L190" t="s">
        <v>27</v>
      </c>
      <c r="M190" t="s">
        <v>25</v>
      </c>
      <c r="N190" t="s">
        <v>180</v>
      </c>
      <c r="O190" t="s">
        <v>181</v>
      </c>
    </row>
    <row r="191" spans="1:15" x14ac:dyDescent="0.3">
      <c r="A191" t="s">
        <v>133</v>
      </c>
      <c r="B191" t="s">
        <v>46</v>
      </c>
      <c r="C191" t="s">
        <v>220</v>
      </c>
      <c r="D191">
        <v>20</v>
      </c>
      <c r="E191" s="1" t="s">
        <v>220</v>
      </c>
      <c r="F191" t="s">
        <v>37</v>
      </c>
      <c r="G191" t="s">
        <v>25</v>
      </c>
      <c r="I191" t="s">
        <v>133</v>
      </c>
      <c r="J191" t="s">
        <v>133</v>
      </c>
      <c r="K191">
        <v>798</v>
      </c>
      <c r="L191" t="s">
        <v>27</v>
      </c>
      <c r="N191" t="s">
        <v>180</v>
      </c>
      <c r="O191" t="s">
        <v>181</v>
      </c>
    </row>
    <row r="192" spans="1:15" x14ac:dyDescent="0.3">
      <c r="A192" t="s">
        <v>133</v>
      </c>
      <c r="B192" t="s">
        <v>46</v>
      </c>
      <c r="C192" t="s">
        <v>220</v>
      </c>
      <c r="D192">
        <v>174</v>
      </c>
      <c r="E192" s="1" t="s">
        <v>220</v>
      </c>
      <c r="F192" t="s">
        <v>37</v>
      </c>
      <c r="G192" t="s">
        <v>25</v>
      </c>
      <c r="I192" t="s">
        <v>133</v>
      </c>
      <c r="J192" t="s">
        <v>133</v>
      </c>
      <c r="K192">
        <v>798</v>
      </c>
      <c r="L192" t="s">
        <v>27</v>
      </c>
      <c r="M192" t="s">
        <v>25</v>
      </c>
      <c r="N192" t="s">
        <v>180</v>
      </c>
      <c r="O192" t="s">
        <v>181</v>
      </c>
    </row>
    <row r="193" spans="1:15" x14ac:dyDescent="0.3">
      <c r="A193" t="s">
        <v>133</v>
      </c>
      <c r="B193" t="s">
        <v>46</v>
      </c>
      <c r="C193" t="s">
        <v>220</v>
      </c>
      <c r="D193">
        <v>200</v>
      </c>
      <c r="E193" s="1" t="s">
        <v>220</v>
      </c>
      <c r="F193" t="s">
        <v>37</v>
      </c>
      <c r="G193" t="s">
        <v>25</v>
      </c>
      <c r="I193" t="s">
        <v>133</v>
      </c>
      <c r="J193" t="s">
        <v>133</v>
      </c>
      <c r="K193">
        <v>798</v>
      </c>
      <c r="L193" t="s">
        <v>27</v>
      </c>
      <c r="M193" t="s">
        <v>25</v>
      </c>
      <c r="N193" t="s">
        <v>180</v>
      </c>
      <c r="O193" t="s">
        <v>181</v>
      </c>
    </row>
    <row r="194" spans="1:15" x14ac:dyDescent="0.3">
      <c r="A194" t="s">
        <v>133</v>
      </c>
      <c r="B194" t="s">
        <v>46</v>
      </c>
      <c r="C194" t="s">
        <v>220</v>
      </c>
      <c r="D194">
        <v>236</v>
      </c>
      <c r="E194" s="1" t="s">
        <v>220</v>
      </c>
      <c r="F194" t="s">
        <v>37</v>
      </c>
      <c r="G194" t="s">
        <v>25</v>
      </c>
      <c r="I194" t="s">
        <v>133</v>
      </c>
      <c r="J194" t="s">
        <v>133</v>
      </c>
      <c r="K194">
        <v>798</v>
      </c>
      <c r="L194" t="s">
        <v>27</v>
      </c>
      <c r="M194" t="s">
        <v>25</v>
      </c>
      <c r="N194" t="s">
        <v>180</v>
      </c>
      <c r="O194" t="s">
        <v>181</v>
      </c>
    </row>
    <row r="195" spans="1:15" x14ac:dyDescent="0.3">
      <c r="A195" t="s">
        <v>133</v>
      </c>
      <c r="B195" t="s">
        <v>46</v>
      </c>
      <c r="C195" t="s">
        <v>220</v>
      </c>
      <c r="D195">
        <v>282</v>
      </c>
      <c r="E195" s="1" t="s">
        <v>220</v>
      </c>
      <c r="F195" t="s">
        <v>37</v>
      </c>
      <c r="G195" t="s">
        <v>25</v>
      </c>
      <c r="I195" t="s">
        <v>133</v>
      </c>
      <c r="J195" t="s">
        <v>133</v>
      </c>
      <c r="K195">
        <v>798</v>
      </c>
      <c r="L195" t="s">
        <v>27</v>
      </c>
      <c r="M195" t="s">
        <v>25</v>
      </c>
      <c r="N195" t="s">
        <v>180</v>
      </c>
      <c r="O195" t="s">
        <v>181</v>
      </c>
    </row>
    <row r="196" spans="1:15" x14ac:dyDescent="0.3">
      <c r="A196" t="s">
        <v>133</v>
      </c>
      <c r="B196" t="s">
        <v>46</v>
      </c>
      <c r="C196" t="s">
        <v>220</v>
      </c>
      <c r="D196">
        <v>311</v>
      </c>
      <c r="E196" s="1" t="s">
        <v>220</v>
      </c>
      <c r="F196" t="s">
        <v>37</v>
      </c>
      <c r="G196" t="s">
        <v>25</v>
      </c>
      <c r="I196" t="s">
        <v>133</v>
      </c>
      <c r="J196" t="s">
        <v>133</v>
      </c>
      <c r="K196">
        <v>798</v>
      </c>
      <c r="L196" t="s">
        <v>27</v>
      </c>
      <c r="M196" t="s">
        <v>25</v>
      </c>
      <c r="N196" t="s">
        <v>180</v>
      </c>
      <c r="O196" t="s">
        <v>181</v>
      </c>
    </row>
    <row r="197" spans="1:15" x14ac:dyDescent="0.3">
      <c r="A197" t="s">
        <v>133</v>
      </c>
      <c r="B197" t="s">
        <v>46</v>
      </c>
      <c r="C197" t="s">
        <v>220</v>
      </c>
      <c r="D197">
        <v>340</v>
      </c>
      <c r="E197" s="1" t="s">
        <v>220</v>
      </c>
      <c r="F197" t="s">
        <v>37</v>
      </c>
      <c r="G197" t="s">
        <v>25</v>
      </c>
      <c r="I197" t="s">
        <v>133</v>
      </c>
      <c r="J197" t="s">
        <v>133</v>
      </c>
      <c r="K197">
        <v>798</v>
      </c>
      <c r="L197" t="s">
        <v>27</v>
      </c>
      <c r="M197" t="s">
        <v>25</v>
      </c>
      <c r="N197" t="s">
        <v>180</v>
      </c>
      <c r="O197" t="s">
        <v>181</v>
      </c>
    </row>
    <row r="198" spans="1:15" x14ac:dyDescent="0.3">
      <c r="A198" t="s">
        <v>133</v>
      </c>
      <c r="B198" t="s">
        <v>46</v>
      </c>
      <c r="C198" t="s">
        <v>220</v>
      </c>
      <c r="D198">
        <v>369</v>
      </c>
      <c r="E198" s="1" t="s">
        <v>220</v>
      </c>
      <c r="F198" t="s">
        <v>37</v>
      </c>
      <c r="G198" t="s">
        <v>25</v>
      </c>
      <c r="I198" t="s">
        <v>133</v>
      </c>
      <c r="J198" t="s">
        <v>133</v>
      </c>
      <c r="K198">
        <v>798</v>
      </c>
      <c r="L198" t="s">
        <v>27</v>
      </c>
      <c r="M198" t="s">
        <v>25</v>
      </c>
      <c r="N198" t="s">
        <v>180</v>
      </c>
      <c r="O198" t="s">
        <v>181</v>
      </c>
    </row>
    <row r="199" spans="1:15" x14ac:dyDescent="0.3">
      <c r="A199" t="s">
        <v>133</v>
      </c>
      <c r="B199" t="s">
        <v>46</v>
      </c>
      <c r="C199" t="s">
        <v>220</v>
      </c>
      <c r="D199">
        <v>398</v>
      </c>
      <c r="E199" s="1" t="s">
        <v>220</v>
      </c>
      <c r="F199" t="s">
        <v>37</v>
      </c>
      <c r="G199" t="s">
        <v>25</v>
      </c>
      <c r="I199" t="s">
        <v>133</v>
      </c>
      <c r="J199" t="s">
        <v>133</v>
      </c>
      <c r="K199">
        <v>798</v>
      </c>
      <c r="L199" t="s">
        <v>27</v>
      </c>
      <c r="M199" t="s">
        <v>25</v>
      </c>
      <c r="N199" t="s">
        <v>180</v>
      </c>
      <c r="O199" t="s">
        <v>181</v>
      </c>
    </row>
    <row r="200" spans="1:15" x14ac:dyDescent="0.3">
      <c r="A200" t="s">
        <v>133</v>
      </c>
      <c r="B200" t="s">
        <v>46</v>
      </c>
      <c r="C200" t="s">
        <v>220</v>
      </c>
      <c r="D200">
        <v>435</v>
      </c>
      <c r="E200" s="1" t="s">
        <v>220</v>
      </c>
      <c r="F200" t="s">
        <v>37</v>
      </c>
      <c r="G200" t="s">
        <v>25</v>
      </c>
      <c r="I200" t="s">
        <v>133</v>
      </c>
      <c r="J200" t="s">
        <v>133</v>
      </c>
      <c r="K200">
        <v>798</v>
      </c>
      <c r="L200" t="s">
        <v>27</v>
      </c>
      <c r="M200" t="s">
        <v>25</v>
      </c>
      <c r="N200" t="s">
        <v>180</v>
      </c>
      <c r="O200" t="s">
        <v>181</v>
      </c>
    </row>
    <row r="201" spans="1:15" x14ac:dyDescent="0.3">
      <c r="A201" t="s">
        <v>33</v>
      </c>
      <c r="B201" t="s">
        <v>46</v>
      </c>
      <c r="C201" t="s">
        <v>222</v>
      </c>
      <c r="D201">
        <v>263</v>
      </c>
      <c r="E201" s="1" t="s">
        <v>222</v>
      </c>
      <c r="F201" t="s">
        <v>37</v>
      </c>
      <c r="G201" t="s">
        <v>25</v>
      </c>
      <c r="I201" t="s">
        <v>33</v>
      </c>
      <c r="J201" t="s">
        <v>33</v>
      </c>
      <c r="K201">
        <v>547</v>
      </c>
      <c r="L201" t="s">
        <v>27</v>
      </c>
      <c r="M201" t="s">
        <v>25</v>
      </c>
      <c r="N201" t="s">
        <v>180</v>
      </c>
      <c r="O201" t="s">
        <v>221</v>
      </c>
    </row>
    <row r="202" spans="1:15" x14ac:dyDescent="0.3">
      <c r="A202" t="s">
        <v>33</v>
      </c>
      <c r="B202" t="s">
        <v>46</v>
      </c>
      <c r="C202" t="s">
        <v>222</v>
      </c>
      <c r="D202">
        <v>275</v>
      </c>
      <c r="E202" s="1" t="s">
        <v>222</v>
      </c>
      <c r="F202" t="s">
        <v>37</v>
      </c>
      <c r="G202" t="s">
        <v>25</v>
      </c>
      <c r="I202" t="s">
        <v>33</v>
      </c>
      <c r="J202" t="s">
        <v>33</v>
      </c>
      <c r="K202">
        <v>547</v>
      </c>
      <c r="L202" t="s">
        <v>27</v>
      </c>
      <c r="M202" t="s">
        <v>25</v>
      </c>
      <c r="N202" t="s">
        <v>180</v>
      </c>
      <c r="O202" t="s">
        <v>221</v>
      </c>
    </row>
    <row r="203" spans="1:15" x14ac:dyDescent="0.3">
      <c r="A203" t="s">
        <v>33</v>
      </c>
      <c r="B203" t="s">
        <v>46</v>
      </c>
      <c r="C203" t="s">
        <v>222</v>
      </c>
      <c r="D203">
        <v>297</v>
      </c>
      <c r="E203" s="1" t="s">
        <v>222</v>
      </c>
      <c r="F203" t="s">
        <v>37</v>
      </c>
      <c r="G203" t="s">
        <v>25</v>
      </c>
      <c r="I203" t="s">
        <v>33</v>
      </c>
      <c r="J203" t="s">
        <v>33</v>
      </c>
      <c r="K203">
        <v>547</v>
      </c>
      <c r="L203" t="s">
        <v>27</v>
      </c>
      <c r="M203" t="s">
        <v>25</v>
      </c>
      <c r="N203" t="s">
        <v>180</v>
      </c>
      <c r="O203" t="s">
        <v>221</v>
      </c>
    </row>
    <row r="204" spans="1:15" x14ac:dyDescent="0.3">
      <c r="A204" t="s">
        <v>33</v>
      </c>
      <c r="B204" t="s">
        <v>46</v>
      </c>
      <c r="C204" t="s">
        <v>222</v>
      </c>
      <c r="D204">
        <v>309</v>
      </c>
      <c r="E204" s="1" t="s">
        <v>222</v>
      </c>
      <c r="F204" t="s">
        <v>37</v>
      </c>
      <c r="G204" t="s">
        <v>25</v>
      </c>
      <c r="I204" t="s">
        <v>33</v>
      </c>
      <c r="J204" t="s">
        <v>33</v>
      </c>
      <c r="K204">
        <v>547</v>
      </c>
      <c r="L204" t="s">
        <v>27</v>
      </c>
      <c r="M204" t="s">
        <v>25</v>
      </c>
      <c r="N204" t="s">
        <v>180</v>
      </c>
      <c r="O204" t="s">
        <v>221</v>
      </c>
    </row>
    <row r="205" spans="1:15" x14ac:dyDescent="0.3">
      <c r="A205" t="s">
        <v>33</v>
      </c>
      <c r="B205" t="s">
        <v>46</v>
      </c>
      <c r="C205" t="s">
        <v>223</v>
      </c>
      <c r="D205">
        <v>33</v>
      </c>
      <c r="E205" s="1" t="s">
        <v>223</v>
      </c>
      <c r="F205" t="s">
        <v>37</v>
      </c>
      <c r="G205" t="s">
        <v>25</v>
      </c>
      <c r="I205" t="s">
        <v>33</v>
      </c>
      <c r="J205" t="s">
        <v>33</v>
      </c>
      <c r="K205">
        <v>547</v>
      </c>
      <c r="L205" t="s">
        <v>27</v>
      </c>
      <c r="N205" t="s">
        <v>180</v>
      </c>
      <c r="O205" t="s">
        <v>221</v>
      </c>
    </row>
    <row r="206" spans="1:15" x14ac:dyDescent="0.3">
      <c r="A206" t="s">
        <v>33</v>
      </c>
      <c r="B206" t="s">
        <v>46</v>
      </c>
      <c r="C206" t="s">
        <v>223</v>
      </c>
      <c r="D206">
        <v>36</v>
      </c>
      <c r="E206" s="1" t="s">
        <v>223</v>
      </c>
      <c r="F206" t="s">
        <v>37</v>
      </c>
      <c r="G206" t="s">
        <v>25</v>
      </c>
      <c r="I206" t="s">
        <v>33</v>
      </c>
      <c r="J206" t="s">
        <v>33</v>
      </c>
      <c r="K206">
        <v>547</v>
      </c>
      <c r="L206" t="s">
        <v>27</v>
      </c>
      <c r="N206" t="s">
        <v>180</v>
      </c>
      <c r="O206" t="s">
        <v>221</v>
      </c>
    </row>
    <row r="207" spans="1:15" x14ac:dyDescent="0.3">
      <c r="A207" t="s">
        <v>33</v>
      </c>
      <c r="B207" t="s">
        <v>46</v>
      </c>
      <c r="C207" t="s">
        <v>188</v>
      </c>
      <c r="D207">
        <v>7</v>
      </c>
      <c r="E207" s="1" t="s">
        <v>188</v>
      </c>
      <c r="F207" t="s">
        <v>37</v>
      </c>
      <c r="G207" t="s">
        <v>25</v>
      </c>
      <c r="I207" t="s">
        <v>33</v>
      </c>
      <c r="J207" t="s">
        <v>33</v>
      </c>
      <c r="K207">
        <v>547</v>
      </c>
      <c r="L207" t="s">
        <v>27</v>
      </c>
      <c r="M207" t="s">
        <v>25</v>
      </c>
      <c r="N207" t="s">
        <v>180</v>
      </c>
      <c r="O207" t="s">
        <v>221</v>
      </c>
    </row>
    <row r="208" spans="1:15" x14ac:dyDescent="0.3">
      <c r="A208" t="s">
        <v>33</v>
      </c>
      <c r="B208" t="s">
        <v>46</v>
      </c>
      <c r="C208" t="s">
        <v>224</v>
      </c>
      <c r="D208">
        <v>7</v>
      </c>
      <c r="E208" s="1" t="s">
        <v>224</v>
      </c>
      <c r="F208" t="s">
        <v>37</v>
      </c>
      <c r="G208" t="s">
        <v>25</v>
      </c>
      <c r="I208" t="s">
        <v>33</v>
      </c>
      <c r="J208" t="s">
        <v>33</v>
      </c>
      <c r="K208">
        <v>547</v>
      </c>
      <c r="L208" t="s">
        <v>27</v>
      </c>
      <c r="N208" t="s">
        <v>180</v>
      </c>
      <c r="O208" t="s">
        <v>221</v>
      </c>
    </row>
    <row r="209" spans="1:15" x14ac:dyDescent="0.3">
      <c r="A209" t="s">
        <v>33</v>
      </c>
      <c r="B209" t="s">
        <v>46</v>
      </c>
      <c r="C209" t="s">
        <v>224</v>
      </c>
      <c r="D209">
        <v>22</v>
      </c>
      <c r="E209" s="1" t="s">
        <v>224</v>
      </c>
      <c r="F209" t="s">
        <v>37</v>
      </c>
      <c r="G209" t="s">
        <v>25</v>
      </c>
      <c r="I209" t="s">
        <v>33</v>
      </c>
      <c r="J209" t="s">
        <v>33</v>
      </c>
      <c r="K209">
        <v>547</v>
      </c>
      <c r="L209" t="s">
        <v>27</v>
      </c>
      <c r="N209" t="s">
        <v>180</v>
      </c>
      <c r="O209" t="s">
        <v>221</v>
      </c>
    </row>
    <row r="210" spans="1:15" x14ac:dyDescent="0.3">
      <c r="A210" t="s">
        <v>33</v>
      </c>
      <c r="B210" t="s">
        <v>46</v>
      </c>
      <c r="C210" t="s">
        <v>205</v>
      </c>
      <c r="D210">
        <v>302</v>
      </c>
      <c r="E210" s="1" t="s">
        <v>205</v>
      </c>
      <c r="F210" t="s">
        <v>37</v>
      </c>
      <c r="G210" t="s">
        <v>25</v>
      </c>
      <c r="I210" t="s">
        <v>33</v>
      </c>
      <c r="J210" t="s">
        <v>33</v>
      </c>
      <c r="K210">
        <v>547</v>
      </c>
      <c r="L210" t="s">
        <v>27</v>
      </c>
      <c r="M210" t="s">
        <v>25</v>
      </c>
      <c r="N210" t="s">
        <v>180</v>
      </c>
      <c r="O210" t="s">
        <v>221</v>
      </c>
    </row>
    <row r="211" spans="1:15" x14ac:dyDescent="0.3">
      <c r="A211" t="s">
        <v>33</v>
      </c>
      <c r="B211" t="s">
        <v>46</v>
      </c>
      <c r="C211" t="s">
        <v>225</v>
      </c>
      <c r="D211">
        <v>24</v>
      </c>
      <c r="E211" s="1" t="s">
        <v>225</v>
      </c>
      <c r="F211" t="s">
        <v>37</v>
      </c>
      <c r="G211" t="s">
        <v>25</v>
      </c>
      <c r="I211" t="s">
        <v>33</v>
      </c>
      <c r="J211" t="s">
        <v>33</v>
      </c>
      <c r="K211">
        <v>547</v>
      </c>
      <c r="L211" t="s">
        <v>27</v>
      </c>
      <c r="N211" t="s">
        <v>180</v>
      </c>
      <c r="O211" t="s">
        <v>221</v>
      </c>
    </row>
    <row r="212" spans="1:15" x14ac:dyDescent="0.3">
      <c r="A212" t="s">
        <v>33</v>
      </c>
      <c r="B212" t="s">
        <v>46</v>
      </c>
      <c r="C212" t="s">
        <v>225</v>
      </c>
      <c r="D212">
        <v>36</v>
      </c>
      <c r="E212" s="1" t="s">
        <v>225</v>
      </c>
      <c r="F212" t="s">
        <v>37</v>
      </c>
      <c r="G212" t="s">
        <v>25</v>
      </c>
      <c r="I212" t="s">
        <v>33</v>
      </c>
      <c r="J212" t="s">
        <v>33</v>
      </c>
      <c r="K212">
        <v>547</v>
      </c>
      <c r="L212" t="s">
        <v>27</v>
      </c>
      <c r="N212" t="s">
        <v>180</v>
      </c>
      <c r="O212" t="s">
        <v>221</v>
      </c>
    </row>
    <row r="213" spans="1:15" x14ac:dyDescent="0.3">
      <c r="A213" t="s">
        <v>33</v>
      </c>
      <c r="B213" t="s">
        <v>46</v>
      </c>
      <c r="C213" t="s">
        <v>225</v>
      </c>
      <c r="D213">
        <v>48</v>
      </c>
      <c r="E213" s="1" t="s">
        <v>225</v>
      </c>
      <c r="F213" t="s">
        <v>37</v>
      </c>
      <c r="G213" t="s">
        <v>25</v>
      </c>
      <c r="I213" t="s">
        <v>33</v>
      </c>
      <c r="J213" t="s">
        <v>33</v>
      </c>
      <c r="K213">
        <v>547</v>
      </c>
      <c r="L213" t="s">
        <v>27</v>
      </c>
      <c r="N213" t="s">
        <v>180</v>
      </c>
      <c r="O213" t="s">
        <v>221</v>
      </c>
    </row>
    <row r="214" spans="1:15" x14ac:dyDescent="0.3">
      <c r="A214" t="s">
        <v>33</v>
      </c>
      <c r="B214" t="s">
        <v>46</v>
      </c>
      <c r="C214" t="s">
        <v>225</v>
      </c>
      <c r="D214">
        <v>60</v>
      </c>
      <c r="E214" s="1" t="s">
        <v>225</v>
      </c>
      <c r="F214" t="s">
        <v>37</v>
      </c>
      <c r="G214" t="s">
        <v>25</v>
      </c>
      <c r="I214" t="s">
        <v>33</v>
      </c>
      <c r="J214" t="s">
        <v>33</v>
      </c>
      <c r="K214">
        <v>547</v>
      </c>
      <c r="L214" t="s">
        <v>27</v>
      </c>
      <c r="N214" t="s">
        <v>180</v>
      </c>
      <c r="O214" t="s">
        <v>221</v>
      </c>
    </row>
    <row r="215" spans="1:15" x14ac:dyDescent="0.3">
      <c r="A215" t="s">
        <v>33</v>
      </c>
      <c r="B215" t="s">
        <v>46</v>
      </c>
      <c r="C215" t="s">
        <v>220</v>
      </c>
      <c r="D215">
        <v>78</v>
      </c>
      <c r="E215" s="1" t="s">
        <v>220</v>
      </c>
      <c r="F215" t="s">
        <v>37</v>
      </c>
      <c r="G215" t="s">
        <v>25</v>
      </c>
      <c r="I215" t="s">
        <v>33</v>
      </c>
      <c r="J215" t="s">
        <v>33</v>
      </c>
      <c r="K215">
        <v>547</v>
      </c>
      <c r="L215" t="s">
        <v>27</v>
      </c>
      <c r="N215" t="s">
        <v>180</v>
      </c>
      <c r="O215" t="s">
        <v>221</v>
      </c>
    </row>
    <row r="216" spans="1:15" x14ac:dyDescent="0.3">
      <c r="A216" t="s">
        <v>33</v>
      </c>
      <c r="B216" t="s">
        <v>46</v>
      </c>
      <c r="C216" t="s">
        <v>220</v>
      </c>
      <c r="D216">
        <v>175</v>
      </c>
      <c r="E216" s="1" t="s">
        <v>220</v>
      </c>
      <c r="F216" t="s">
        <v>37</v>
      </c>
      <c r="G216" t="s">
        <v>25</v>
      </c>
      <c r="I216" t="s">
        <v>33</v>
      </c>
      <c r="J216" t="s">
        <v>33</v>
      </c>
      <c r="K216">
        <v>547</v>
      </c>
      <c r="L216" t="s">
        <v>27</v>
      </c>
      <c r="N216" t="s">
        <v>180</v>
      </c>
      <c r="O216" t="s">
        <v>221</v>
      </c>
    </row>
    <row r="217" spans="1:15" x14ac:dyDescent="0.3">
      <c r="A217" t="s">
        <v>33</v>
      </c>
      <c r="B217" t="s">
        <v>46</v>
      </c>
      <c r="C217" t="s">
        <v>220</v>
      </c>
      <c r="D217">
        <v>238</v>
      </c>
      <c r="E217" s="1" t="s">
        <v>220</v>
      </c>
      <c r="F217" t="s">
        <v>37</v>
      </c>
      <c r="G217" t="s">
        <v>25</v>
      </c>
      <c r="I217" t="s">
        <v>33</v>
      </c>
      <c r="J217" t="s">
        <v>33</v>
      </c>
      <c r="K217">
        <v>547</v>
      </c>
      <c r="L217" t="s">
        <v>27</v>
      </c>
      <c r="N217" t="s">
        <v>180</v>
      </c>
      <c r="O217" t="s">
        <v>221</v>
      </c>
    </row>
    <row r="218" spans="1:15" x14ac:dyDescent="0.3">
      <c r="A218" t="s">
        <v>33</v>
      </c>
      <c r="B218" t="s">
        <v>46</v>
      </c>
      <c r="C218" t="s">
        <v>220</v>
      </c>
      <c r="D218">
        <v>254</v>
      </c>
      <c r="E218" s="1" t="s">
        <v>220</v>
      </c>
      <c r="F218" t="s">
        <v>37</v>
      </c>
      <c r="G218" t="s">
        <v>25</v>
      </c>
      <c r="I218" t="s">
        <v>33</v>
      </c>
      <c r="J218" t="s">
        <v>33</v>
      </c>
      <c r="K218">
        <v>547</v>
      </c>
      <c r="L218" t="s">
        <v>27</v>
      </c>
      <c r="N218" t="s">
        <v>180</v>
      </c>
      <c r="O218" t="s">
        <v>221</v>
      </c>
    </row>
    <row r="219" spans="1:15" x14ac:dyDescent="0.3">
      <c r="A219" t="s">
        <v>33</v>
      </c>
      <c r="B219" t="s">
        <v>46</v>
      </c>
      <c r="C219" t="s">
        <v>220</v>
      </c>
      <c r="D219">
        <v>284</v>
      </c>
      <c r="E219" s="1" t="s">
        <v>220</v>
      </c>
      <c r="F219" t="s">
        <v>37</v>
      </c>
      <c r="G219" t="s">
        <v>25</v>
      </c>
      <c r="I219" t="s">
        <v>33</v>
      </c>
      <c r="J219" t="s">
        <v>33</v>
      </c>
      <c r="K219">
        <v>547</v>
      </c>
      <c r="L219" t="s">
        <v>27</v>
      </c>
      <c r="N219" t="s">
        <v>180</v>
      </c>
      <c r="O219" t="s">
        <v>221</v>
      </c>
    </row>
    <row r="220" spans="1:15" x14ac:dyDescent="0.3">
      <c r="A220" t="s">
        <v>33</v>
      </c>
      <c r="B220" t="s">
        <v>46</v>
      </c>
      <c r="C220" t="s">
        <v>220</v>
      </c>
      <c r="D220">
        <v>300</v>
      </c>
      <c r="E220" s="1" t="s">
        <v>220</v>
      </c>
      <c r="F220" t="s">
        <v>37</v>
      </c>
      <c r="G220" t="s">
        <v>25</v>
      </c>
      <c r="I220" t="s">
        <v>33</v>
      </c>
      <c r="J220" t="s">
        <v>33</v>
      </c>
      <c r="K220">
        <v>547</v>
      </c>
      <c r="L220" t="s">
        <v>27</v>
      </c>
      <c r="N220" t="s">
        <v>180</v>
      </c>
      <c r="O220" t="s">
        <v>221</v>
      </c>
    </row>
    <row r="221" spans="1:15" x14ac:dyDescent="0.3">
      <c r="A221" t="s">
        <v>33</v>
      </c>
      <c r="B221" t="s">
        <v>46</v>
      </c>
      <c r="C221" t="s">
        <v>220</v>
      </c>
      <c r="D221">
        <v>313</v>
      </c>
      <c r="E221" s="1" t="s">
        <v>220</v>
      </c>
      <c r="F221" t="s">
        <v>37</v>
      </c>
      <c r="G221" t="s">
        <v>25</v>
      </c>
      <c r="I221" t="s">
        <v>33</v>
      </c>
      <c r="J221" t="s">
        <v>33</v>
      </c>
      <c r="K221">
        <v>547</v>
      </c>
      <c r="L221" t="s">
        <v>27</v>
      </c>
      <c r="N221" t="s">
        <v>180</v>
      </c>
      <c r="O221" t="s">
        <v>221</v>
      </c>
    </row>
    <row r="222" spans="1:15" x14ac:dyDescent="0.3">
      <c r="A222" t="s">
        <v>33</v>
      </c>
      <c r="B222" t="s">
        <v>46</v>
      </c>
      <c r="C222" t="s">
        <v>220</v>
      </c>
      <c r="D222">
        <v>329</v>
      </c>
      <c r="E222" s="1" t="s">
        <v>220</v>
      </c>
      <c r="F222" t="s">
        <v>37</v>
      </c>
      <c r="G222" t="s">
        <v>25</v>
      </c>
      <c r="I222" t="s">
        <v>33</v>
      </c>
      <c r="J222" t="s">
        <v>33</v>
      </c>
      <c r="K222">
        <v>547</v>
      </c>
      <c r="L222" t="s">
        <v>27</v>
      </c>
      <c r="N222" t="s">
        <v>180</v>
      </c>
      <c r="O222" t="s">
        <v>221</v>
      </c>
    </row>
    <row r="223" spans="1:15" x14ac:dyDescent="0.3">
      <c r="A223" t="s">
        <v>33</v>
      </c>
      <c r="B223" t="s">
        <v>46</v>
      </c>
      <c r="C223" t="s">
        <v>220</v>
      </c>
      <c r="D223">
        <v>342</v>
      </c>
      <c r="E223" s="1" t="s">
        <v>220</v>
      </c>
      <c r="F223" t="s">
        <v>37</v>
      </c>
      <c r="G223" t="s">
        <v>25</v>
      </c>
      <c r="I223" t="s">
        <v>33</v>
      </c>
      <c r="J223" t="s">
        <v>33</v>
      </c>
      <c r="K223">
        <v>547</v>
      </c>
      <c r="L223" t="s">
        <v>27</v>
      </c>
      <c r="N223" t="s">
        <v>180</v>
      </c>
      <c r="O223" t="s">
        <v>221</v>
      </c>
    </row>
    <row r="224" spans="1:15" x14ac:dyDescent="0.3">
      <c r="A224" t="s">
        <v>33</v>
      </c>
      <c r="B224" t="s">
        <v>46</v>
      </c>
      <c r="C224" t="s">
        <v>220</v>
      </c>
      <c r="D224">
        <v>370</v>
      </c>
      <c r="E224" s="1" t="s">
        <v>220</v>
      </c>
      <c r="F224" t="s">
        <v>37</v>
      </c>
      <c r="G224" t="s">
        <v>25</v>
      </c>
      <c r="I224" t="s">
        <v>33</v>
      </c>
      <c r="J224" t="s">
        <v>33</v>
      </c>
      <c r="K224">
        <v>547</v>
      </c>
      <c r="L224" t="s">
        <v>27</v>
      </c>
      <c r="N224" t="s">
        <v>180</v>
      </c>
      <c r="O224" t="s">
        <v>221</v>
      </c>
    </row>
    <row r="225" spans="1:15" x14ac:dyDescent="0.3">
      <c r="A225" t="s">
        <v>33</v>
      </c>
      <c r="B225" t="s">
        <v>46</v>
      </c>
      <c r="C225" t="s">
        <v>220</v>
      </c>
      <c r="D225">
        <v>372</v>
      </c>
      <c r="E225" s="1" t="s">
        <v>220</v>
      </c>
      <c r="F225" t="s">
        <v>37</v>
      </c>
      <c r="G225" t="s">
        <v>25</v>
      </c>
      <c r="H225" t="s">
        <v>25</v>
      </c>
      <c r="I225" t="s">
        <v>33</v>
      </c>
      <c r="J225" t="s">
        <v>33</v>
      </c>
      <c r="K225">
        <v>547</v>
      </c>
      <c r="L225" t="s">
        <v>27</v>
      </c>
      <c r="N225" t="s">
        <v>180</v>
      </c>
      <c r="O225" t="s">
        <v>226</v>
      </c>
    </row>
    <row r="226" spans="1:15" x14ac:dyDescent="0.3">
      <c r="A226" t="s">
        <v>33</v>
      </c>
      <c r="B226" t="s">
        <v>46</v>
      </c>
      <c r="C226" t="s">
        <v>220</v>
      </c>
      <c r="D226">
        <v>385</v>
      </c>
      <c r="E226" s="1" t="s">
        <v>220</v>
      </c>
      <c r="F226" t="s">
        <v>37</v>
      </c>
      <c r="G226" t="s">
        <v>25</v>
      </c>
      <c r="H226" t="s">
        <v>25</v>
      </c>
      <c r="I226" t="s">
        <v>33</v>
      </c>
      <c r="J226" t="s">
        <v>33</v>
      </c>
      <c r="K226">
        <v>547</v>
      </c>
      <c r="L226" t="s">
        <v>27</v>
      </c>
      <c r="N226" t="s">
        <v>180</v>
      </c>
      <c r="O226" t="s">
        <v>226</v>
      </c>
    </row>
    <row r="227" spans="1:15" x14ac:dyDescent="0.3">
      <c r="A227" t="s">
        <v>33</v>
      </c>
      <c r="B227" t="s">
        <v>46</v>
      </c>
      <c r="C227" t="s">
        <v>220</v>
      </c>
      <c r="D227">
        <v>358</v>
      </c>
      <c r="E227" s="1" t="s">
        <v>220</v>
      </c>
      <c r="F227" t="s">
        <v>37</v>
      </c>
      <c r="G227" t="s">
        <v>25</v>
      </c>
      <c r="I227" t="s">
        <v>33</v>
      </c>
      <c r="J227" t="s">
        <v>33</v>
      </c>
      <c r="K227">
        <v>547</v>
      </c>
      <c r="L227" t="s">
        <v>27</v>
      </c>
      <c r="N227" t="s">
        <v>180</v>
      </c>
      <c r="O227" t="s">
        <v>221</v>
      </c>
    </row>
    <row r="228" spans="1:15" x14ac:dyDescent="0.3">
      <c r="A228" t="s">
        <v>33</v>
      </c>
      <c r="B228" t="s">
        <v>46</v>
      </c>
      <c r="C228" t="s">
        <v>220</v>
      </c>
      <c r="D228">
        <v>399</v>
      </c>
      <c r="E228" s="1" t="s">
        <v>220</v>
      </c>
      <c r="F228" t="s">
        <v>37</v>
      </c>
      <c r="G228" t="s">
        <v>25</v>
      </c>
      <c r="I228" t="s">
        <v>33</v>
      </c>
      <c r="J228" t="s">
        <v>33</v>
      </c>
      <c r="K228">
        <v>547</v>
      </c>
      <c r="L228" t="s">
        <v>27</v>
      </c>
      <c r="N228" t="s">
        <v>180</v>
      </c>
      <c r="O228" t="s">
        <v>221</v>
      </c>
    </row>
    <row r="229" spans="1:15" x14ac:dyDescent="0.3">
      <c r="A229" t="s">
        <v>33</v>
      </c>
      <c r="B229" t="s">
        <v>46</v>
      </c>
      <c r="C229" t="s">
        <v>220</v>
      </c>
      <c r="D229">
        <v>401</v>
      </c>
      <c r="E229" s="1" t="s">
        <v>220</v>
      </c>
      <c r="F229" t="s">
        <v>37</v>
      </c>
      <c r="G229" t="s">
        <v>25</v>
      </c>
      <c r="H229" t="s">
        <v>25</v>
      </c>
      <c r="I229" t="s">
        <v>33</v>
      </c>
      <c r="J229" t="s">
        <v>33</v>
      </c>
      <c r="K229">
        <v>547</v>
      </c>
      <c r="L229" t="s">
        <v>27</v>
      </c>
      <c r="N229" t="s">
        <v>180</v>
      </c>
      <c r="O229" t="s">
        <v>226</v>
      </c>
    </row>
    <row r="230" spans="1:15" x14ac:dyDescent="0.3">
      <c r="A230" t="s">
        <v>33</v>
      </c>
      <c r="B230" t="s">
        <v>46</v>
      </c>
      <c r="C230" t="s">
        <v>220</v>
      </c>
      <c r="D230">
        <v>402</v>
      </c>
      <c r="E230" s="1" t="s">
        <v>220</v>
      </c>
      <c r="F230" t="s">
        <v>37</v>
      </c>
      <c r="G230" t="s">
        <v>25</v>
      </c>
      <c r="H230" t="s">
        <v>25</v>
      </c>
      <c r="I230" t="s">
        <v>33</v>
      </c>
      <c r="J230" t="s">
        <v>33</v>
      </c>
      <c r="K230">
        <v>547</v>
      </c>
      <c r="L230" t="s">
        <v>27</v>
      </c>
      <c r="N230" t="s">
        <v>180</v>
      </c>
      <c r="O230" t="s">
        <v>226</v>
      </c>
    </row>
    <row r="231" spans="1:15" x14ac:dyDescent="0.3">
      <c r="A231" t="s">
        <v>33</v>
      </c>
      <c r="B231" t="s">
        <v>46</v>
      </c>
      <c r="C231" t="s">
        <v>220</v>
      </c>
      <c r="D231">
        <v>436</v>
      </c>
      <c r="E231" s="1" t="s">
        <v>220</v>
      </c>
      <c r="F231" t="s">
        <v>37</v>
      </c>
      <c r="G231" t="s">
        <v>25</v>
      </c>
      <c r="I231" t="s">
        <v>33</v>
      </c>
      <c r="J231" t="s">
        <v>33</v>
      </c>
      <c r="K231">
        <v>547</v>
      </c>
      <c r="L231" t="s">
        <v>27</v>
      </c>
      <c r="N231" t="s">
        <v>180</v>
      </c>
      <c r="O231" t="s">
        <v>221</v>
      </c>
    </row>
    <row r="232" spans="1:15" x14ac:dyDescent="0.3">
      <c r="A232" t="s">
        <v>33</v>
      </c>
      <c r="B232" t="s">
        <v>46</v>
      </c>
      <c r="C232" t="s">
        <v>220</v>
      </c>
      <c r="D232">
        <v>438</v>
      </c>
      <c r="E232" s="1" t="s">
        <v>220</v>
      </c>
      <c r="F232" t="s">
        <v>37</v>
      </c>
      <c r="G232" t="s">
        <v>25</v>
      </c>
      <c r="H232" t="s">
        <v>25</v>
      </c>
      <c r="I232" t="s">
        <v>33</v>
      </c>
      <c r="J232" t="s">
        <v>33</v>
      </c>
      <c r="K232">
        <v>547</v>
      </c>
      <c r="L232" t="s">
        <v>27</v>
      </c>
      <c r="N232" t="s">
        <v>180</v>
      </c>
      <c r="O232" t="s">
        <v>226</v>
      </c>
    </row>
    <row r="233" spans="1:15" x14ac:dyDescent="0.3">
      <c r="A233" t="s">
        <v>33</v>
      </c>
      <c r="B233" t="s">
        <v>46</v>
      </c>
      <c r="C233" t="s">
        <v>220</v>
      </c>
      <c r="D233">
        <v>439</v>
      </c>
      <c r="E233" s="1" t="s">
        <v>220</v>
      </c>
      <c r="F233" t="s">
        <v>37</v>
      </c>
      <c r="G233" t="s">
        <v>25</v>
      </c>
      <c r="H233" t="s">
        <v>25</v>
      </c>
      <c r="I233" t="s">
        <v>33</v>
      </c>
      <c r="J233" t="s">
        <v>33</v>
      </c>
      <c r="K233">
        <v>547</v>
      </c>
      <c r="L233" t="s">
        <v>27</v>
      </c>
      <c r="N233" t="s">
        <v>180</v>
      </c>
      <c r="O233" t="s">
        <v>226</v>
      </c>
    </row>
    <row r="234" spans="1:15" x14ac:dyDescent="0.3">
      <c r="A234" t="s">
        <v>227</v>
      </c>
      <c r="B234" t="s">
        <v>46</v>
      </c>
      <c r="C234" t="s">
        <v>188</v>
      </c>
      <c r="D234">
        <v>5</v>
      </c>
      <c r="E234" s="1" t="s">
        <v>188</v>
      </c>
      <c r="F234" t="s">
        <v>37</v>
      </c>
      <c r="G234" t="s">
        <v>25</v>
      </c>
      <c r="I234" t="s">
        <v>227</v>
      </c>
      <c r="J234" t="s">
        <v>227</v>
      </c>
      <c r="K234">
        <v>798</v>
      </c>
      <c r="L234" t="s">
        <v>27</v>
      </c>
      <c r="N234" t="s">
        <v>180</v>
      </c>
      <c r="O234" t="s">
        <v>181</v>
      </c>
    </row>
    <row r="235" spans="1:15" x14ac:dyDescent="0.3">
      <c r="A235" t="s">
        <v>227</v>
      </c>
      <c r="B235" t="s">
        <v>46</v>
      </c>
      <c r="C235" t="s">
        <v>189</v>
      </c>
      <c r="D235">
        <v>55</v>
      </c>
      <c r="E235" s="1" t="s">
        <v>189</v>
      </c>
      <c r="F235" t="s">
        <v>37</v>
      </c>
      <c r="G235" t="s">
        <v>25</v>
      </c>
      <c r="I235" t="s">
        <v>227</v>
      </c>
      <c r="J235" t="s">
        <v>227</v>
      </c>
      <c r="K235">
        <v>798</v>
      </c>
      <c r="L235" t="s">
        <v>27</v>
      </c>
      <c r="M235" t="s">
        <v>25</v>
      </c>
      <c r="N235" t="s">
        <v>180</v>
      </c>
      <c r="O235" t="s">
        <v>181</v>
      </c>
    </row>
    <row r="236" spans="1:15" x14ac:dyDescent="0.3">
      <c r="A236" t="s">
        <v>227</v>
      </c>
      <c r="B236" t="s">
        <v>46</v>
      </c>
      <c r="C236" t="s">
        <v>189</v>
      </c>
      <c r="D236">
        <v>82</v>
      </c>
      <c r="E236" s="1" t="s">
        <v>189</v>
      </c>
      <c r="F236" t="s">
        <v>37</v>
      </c>
      <c r="G236" t="s">
        <v>25</v>
      </c>
      <c r="I236" t="s">
        <v>227</v>
      </c>
      <c r="J236" t="s">
        <v>227</v>
      </c>
      <c r="K236">
        <v>798</v>
      </c>
      <c r="L236" t="s">
        <v>27</v>
      </c>
      <c r="M236" t="s">
        <v>25</v>
      </c>
      <c r="N236" t="s">
        <v>180</v>
      </c>
      <c r="O236" t="s">
        <v>181</v>
      </c>
    </row>
    <row r="237" spans="1:15" x14ac:dyDescent="0.3">
      <c r="A237" t="s">
        <v>227</v>
      </c>
      <c r="B237" t="s">
        <v>46</v>
      </c>
      <c r="C237" t="s">
        <v>186</v>
      </c>
      <c r="D237">
        <v>4</v>
      </c>
      <c r="E237" s="1" t="s">
        <v>186</v>
      </c>
      <c r="F237" t="s">
        <v>37</v>
      </c>
      <c r="G237" t="s">
        <v>25</v>
      </c>
      <c r="I237" t="s">
        <v>227</v>
      </c>
      <c r="J237" t="s">
        <v>227</v>
      </c>
      <c r="K237">
        <v>798</v>
      </c>
      <c r="L237" t="s">
        <v>27</v>
      </c>
      <c r="M237" t="s">
        <v>25</v>
      </c>
      <c r="N237" t="s">
        <v>180</v>
      </c>
      <c r="O237" t="s">
        <v>181</v>
      </c>
    </row>
    <row r="238" spans="1:15" x14ac:dyDescent="0.3">
      <c r="A238" t="s">
        <v>227</v>
      </c>
      <c r="B238" t="s">
        <v>46</v>
      </c>
      <c r="C238" t="s">
        <v>186</v>
      </c>
      <c r="D238">
        <v>81</v>
      </c>
      <c r="E238" s="1" t="s">
        <v>186</v>
      </c>
      <c r="F238" t="s">
        <v>37</v>
      </c>
      <c r="G238" t="s">
        <v>25</v>
      </c>
      <c r="I238" t="s">
        <v>227</v>
      </c>
      <c r="J238" t="s">
        <v>227</v>
      </c>
      <c r="K238">
        <v>798</v>
      </c>
      <c r="L238" t="s">
        <v>27</v>
      </c>
      <c r="M238" t="s">
        <v>25</v>
      </c>
      <c r="N238" t="s">
        <v>180</v>
      </c>
      <c r="O238" t="s">
        <v>181</v>
      </c>
    </row>
    <row r="239" spans="1:15" x14ac:dyDescent="0.3">
      <c r="A239" t="s">
        <v>227</v>
      </c>
      <c r="B239" t="s">
        <v>46</v>
      </c>
      <c r="C239" t="s">
        <v>201</v>
      </c>
      <c r="D239">
        <v>9</v>
      </c>
      <c r="E239" s="1" t="s">
        <v>201</v>
      </c>
      <c r="F239" t="s">
        <v>37</v>
      </c>
      <c r="G239" t="s">
        <v>25</v>
      </c>
      <c r="I239" t="s">
        <v>227</v>
      </c>
      <c r="J239" t="s">
        <v>227</v>
      </c>
      <c r="K239">
        <v>798</v>
      </c>
      <c r="L239" t="s">
        <v>27</v>
      </c>
      <c r="N239" t="s">
        <v>180</v>
      </c>
      <c r="O239" t="s">
        <v>181</v>
      </c>
    </row>
    <row r="240" spans="1:15" x14ac:dyDescent="0.3">
      <c r="A240" t="s">
        <v>227</v>
      </c>
      <c r="B240" t="s">
        <v>46</v>
      </c>
      <c r="C240" t="s">
        <v>190</v>
      </c>
      <c r="D240">
        <v>3</v>
      </c>
      <c r="E240" s="1" t="s">
        <v>190</v>
      </c>
      <c r="F240" t="s">
        <v>37</v>
      </c>
      <c r="G240" t="s">
        <v>25</v>
      </c>
      <c r="I240" t="s">
        <v>227</v>
      </c>
      <c r="J240" t="s">
        <v>227</v>
      </c>
      <c r="K240">
        <v>798</v>
      </c>
      <c r="L240" t="s">
        <v>27</v>
      </c>
      <c r="N240" t="s">
        <v>180</v>
      </c>
      <c r="O240" t="s">
        <v>181</v>
      </c>
    </row>
    <row r="241" spans="1:15" x14ac:dyDescent="0.3">
      <c r="A241" t="s">
        <v>227</v>
      </c>
      <c r="B241" t="s">
        <v>46</v>
      </c>
      <c r="C241" t="s">
        <v>202</v>
      </c>
      <c r="D241">
        <v>8</v>
      </c>
      <c r="E241" s="1" t="s">
        <v>202</v>
      </c>
      <c r="F241" t="s">
        <v>37</v>
      </c>
      <c r="G241" t="s">
        <v>25</v>
      </c>
      <c r="I241" t="s">
        <v>227</v>
      </c>
      <c r="J241" t="s">
        <v>227</v>
      </c>
      <c r="K241">
        <v>798</v>
      </c>
      <c r="L241" t="s">
        <v>27</v>
      </c>
      <c r="N241" t="s">
        <v>180</v>
      </c>
      <c r="O241" t="s">
        <v>181</v>
      </c>
    </row>
    <row r="242" spans="1:15" x14ac:dyDescent="0.3">
      <c r="A242" t="s">
        <v>227</v>
      </c>
      <c r="B242" t="s">
        <v>46</v>
      </c>
      <c r="C242" t="s">
        <v>202</v>
      </c>
      <c r="D242">
        <v>53</v>
      </c>
      <c r="E242" s="1" t="s">
        <v>202</v>
      </c>
      <c r="F242" t="s">
        <v>37</v>
      </c>
      <c r="G242" t="s">
        <v>25</v>
      </c>
      <c r="I242" t="s">
        <v>227</v>
      </c>
      <c r="J242" t="s">
        <v>227</v>
      </c>
      <c r="K242">
        <v>798</v>
      </c>
      <c r="L242" t="s">
        <v>27</v>
      </c>
      <c r="N242" t="s">
        <v>180</v>
      </c>
      <c r="O242" t="s">
        <v>181</v>
      </c>
    </row>
    <row r="243" spans="1:15" x14ac:dyDescent="0.3">
      <c r="A243" t="s">
        <v>227</v>
      </c>
      <c r="B243" t="s">
        <v>46</v>
      </c>
      <c r="C243" t="s">
        <v>202</v>
      </c>
      <c r="D243">
        <v>76</v>
      </c>
      <c r="E243" s="1" t="s">
        <v>202</v>
      </c>
      <c r="F243" t="s">
        <v>37</v>
      </c>
      <c r="G243" t="s">
        <v>25</v>
      </c>
      <c r="I243" t="s">
        <v>227</v>
      </c>
      <c r="J243" t="s">
        <v>227</v>
      </c>
      <c r="K243">
        <v>798</v>
      </c>
      <c r="L243" t="s">
        <v>27</v>
      </c>
      <c r="M243" t="s">
        <v>25</v>
      </c>
      <c r="N243" t="s">
        <v>180</v>
      </c>
      <c r="O243" t="s">
        <v>181</v>
      </c>
    </row>
    <row r="244" spans="1:15" x14ac:dyDescent="0.3">
      <c r="A244" t="s">
        <v>227</v>
      </c>
      <c r="B244" t="s">
        <v>46</v>
      </c>
      <c r="C244" t="s">
        <v>202</v>
      </c>
      <c r="D244">
        <v>120</v>
      </c>
      <c r="E244" s="1" t="s">
        <v>202</v>
      </c>
      <c r="F244" t="s">
        <v>37</v>
      </c>
      <c r="G244" t="s">
        <v>25</v>
      </c>
      <c r="I244" t="s">
        <v>227</v>
      </c>
      <c r="J244" t="s">
        <v>227</v>
      </c>
      <c r="K244">
        <v>798</v>
      </c>
      <c r="L244" t="s">
        <v>27</v>
      </c>
      <c r="M244" t="s">
        <v>25</v>
      </c>
      <c r="N244" t="s">
        <v>180</v>
      </c>
      <c r="O244" t="s">
        <v>181</v>
      </c>
    </row>
    <row r="245" spans="1:15" x14ac:dyDescent="0.3">
      <c r="A245" t="s">
        <v>227</v>
      </c>
      <c r="B245" t="s">
        <v>46</v>
      </c>
      <c r="C245" t="s">
        <v>187</v>
      </c>
      <c r="D245">
        <v>24</v>
      </c>
      <c r="E245" s="1" t="s">
        <v>187</v>
      </c>
      <c r="F245" t="s">
        <v>37</v>
      </c>
      <c r="G245" t="s">
        <v>25</v>
      </c>
      <c r="I245" t="s">
        <v>227</v>
      </c>
      <c r="J245" t="s">
        <v>227</v>
      </c>
      <c r="K245">
        <v>798</v>
      </c>
      <c r="L245" t="s">
        <v>27</v>
      </c>
      <c r="M245" t="s">
        <v>25</v>
      </c>
      <c r="N245" t="s">
        <v>180</v>
      </c>
      <c r="O245" t="s">
        <v>181</v>
      </c>
    </row>
    <row r="246" spans="1:15" x14ac:dyDescent="0.3">
      <c r="A246" t="s">
        <v>227</v>
      </c>
      <c r="B246" t="s">
        <v>46</v>
      </c>
      <c r="C246" t="s">
        <v>194</v>
      </c>
      <c r="D246">
        <v>3</v>
      </c>
      <c r="E246" s="1" t="s">
        <v>194</v>
      </c>
      <c r="F246" t="s">
        <v>37</v>
      </c>
      <c r="G246" t="s">
        <v>25</v>
      </c>
      <c r="I246" t="s">
        <v>227</v>
      </c>
      <c r="J246" t="s">
        <v>227</v>
      </c>
      <c r="K246">
        <v>798</v>
      </c>
      <c r="L246" t="s">
        <v>27</v>
      </c>
      <c r="N246" t="s">
        <v>180</v>
      </c>
      <c r="O246" t="s">
        <v>181</v>
      </c>
    </row>
    <row r="247" spans="1:15" x14ac:dyDescent="0.3">
      <c r="A247" t="s">
        <v>227</v>
      </c>
      <c r="B247" t="s">
        <v>46</v>
      </c>
      <c r="C247" t="s">
        <v>195</v>
      </c>
      <c r="D247">
        <v>11</v>
      </c>
      <c r="E247" s="1" t="s">
        <v>195</v>
      </c>
      <c r="F247" t="s">
        <v>37</v>
      </c>
      <c r="G247" t="s">
        <v>25</v>
      </c>
      <c r="I247" t="s">
        <v>227</v>
      </c>
      <c r="J247" t="s">
        <v>227</v>
      </c>
      <c r="K247">
        <v>798</v>
      </c>
      <c r="L247" t="s">
        <v>27</v>
      </c>
      <c r="M247" t="s">
        <v>25</v>
      </c>
      <c r="N247" t="s">
        <v>180</v>
      </c>
      <c r="O247" t="s">
        <v>181</v>
      </c>
    </row>
    <row r="248" spans="1:15" x14ac:dyDescent="0.3">
      <c r="A248" t="s">
        <v>227</v>
      </c>
      <c r="B248" t="s">
        <v>46</v>
      </c>
      <c r="C248" t="s">
        <v>195</v>
      </c>
      <c r="D248">
        <v>47</v>
      </c>
      <c r="E248" s="1" t="s">
        <v>195</v>
      </c>
      <c r="F248" t="s">
        <v>37</v>
      </c>
      <c r="G248" t="s">
        <v>25</v>
      </c>
      <c r="I248" t="s">
        <v>227</v>
      </c>
      <c r="J248" t="s">
        <v>227</v>
      </c>
      <c r="K248">
        <v>798</v>
      </c>
      <c r="L248" t="s">
        <v>27</v>
      </c>
      <c r="M248" t="s">
        <v>25</v>
      </c>
      <c r="N248" t="s">
        <v>180</v>
      </c>
      <c r="O248" t="s">
        <v>181</v>
      </c>
    </row>
    <row r="249" spans="1:15" x14ac:dyDescent="0.3">
      <c r="A249" t="s">
        <v>227</v>
      </c>
      <c r="B249" t="s">
        <v>46</v>
      </c>
      <c r="C249" t="s">
        <v>196</v>
      </c>
      <c r="D249">
        <v>4</v>
      </c>
      <c r="E249" s="1" t="s">
        <v>196</v>
      </c>
      <c r="F249" t="s">
        <v>37</v>
      </c>
      <c r="G249" t="s">
        <v>25</v>
      </c>
      <c r="I249" t="s">
        <v>227</v>
      </c>
      <c r="J249" t="s">
        <v>227</v>
      </c>
      <c r="K249">
        <v>798</v>
      </c>
      <c r="L249" t="s">
        <v>27</v>
      </c>
      <c r="M249" t="s">
        <v>25</v>
      </c>
      <c r="N249" t="s">
        <v>180</v>
      </c>
      <c r="O249" t="s">
        <v>181</v>
      </c>
    </row>
    <row r="250" spans="1:15" x14ac:dyDescent="0.3">
      <c r="A250" t="s">
        <v>227</v>
      </c>
      <c r="B250" t="s">
        <v>46</v>
      </c>
      <c r="C250" t="s">
        <v>197</v>
      </c>
      <c r="D250">
        <v>3</v>
      </c>
      <c r="E250" s="1" t="s">
        <v>197</v>
      </c>
      <c r="F250" t="s">
        <v>37</v>
      </c>
      <c r="G250" t="s">
        <v>25</v>
      </c>
      <c r="I250" t="s">
        <v>227</v>
      </c>
      <c r="J250" t="s">
        <v>227</v>
      </c>
      <c r="K250">
        <v>798</v>
      </c>
      <c r="L250" t="s">
        <v>27</v>
      </c>
      <c r="N250" t="s">
        <v>180</v>
      </c>
      <c r="O250" t="s">
        <v>181</v>
      </c>
    </row>
    <row r="251" spans="1:15" x14ac:dyDescent="0.3">
      <c r="A251" t="s">
        <v>227</v>
      </c>
      <c r="B251" t="s">
        <v>46</v>
      </c>
      <c r="C251" t="s">
        <v>199</v>
      </c>
      <c r="D251">
        <v>5</v>
      </c>
      <c r="E251" s="1" t="s">
        <v>199</v>
      </c>
      <c r="F251" t="s">
        <v>37</v>
      </c>
      <c r="G251" t="s">
        <v>25</v>
      </c>
      <c r="I251" t="s">
        <v>227</v>
      </c>
      <c r="J251" t="s">
        <v>227</v>
      </c>
      <c r="K251">
        <v>798</v>
      </c>
      <c r="L251" t="s">
        <v>27</v>
      </c>
      <c r="M251" t="s">
        <v>25</v>
      </c>
      <c r="N251" t="s">
        <v>180</v>
      </c>
      <c r="O251" t="s">
        <v>181</v>
      </c>
    </row>
    <row r="252" spans="1:15" x14ac:dyDescent="0.3">
      <c r="A252" t="s">
        <v>227</v>
      </c>
      <c r="B252" t="s">
        <v>46</v>
      </c>
      <c r="C252" t="s">
        <v>199</v>
      </c>
      <c r="D252">
        <v>24</v>
      </c>
      <c r="E252" s="1" t="s">
        <v>199</v>
      </c>
      <c r="F252" t="s">
        <v>37</v>
      </c>
      <c r="G252" t="s">
        <v>25</v>
      </c>
      <c r="I252" t="s">
        <v>227</v>
      </c>
      <c r="J252" t="s">
        <v>227</v>
      </c>
      <c r="K252">
        <v>798</v>
      </c>
      <c r="L252" t="s">
        <v>27</v>
      </c>
      <c r="M252" t="s">
        <v>25</v>
      </c>
      <c r="N252" t="s">
        <v>180</v>
      </c>
      <c r="O252" t="s">
        <v>181</v>
      </c>
    </row>
    <row r="253" spans="1:15" x14ac:dyDescent="0.3">
      <c r="A253" t="s">
        <v>227</v>
      </c>
      <c r="B253" t="s">
        <v>46</v>
      </c>
      <c r="C253" t="s">
        <v>199</v>
      </c>
      <c r="D253">
        <v>31</v>
      </c>
      <c r="E253" s="1" t="s">
        <v>199</v>
      </c>
      <c r="F253" t="s">
        <v>37</v>
      </c>
      <c r="G253" t="s">
        <v>25</v>
      </c>
      <c r="I253" t="s">
        <v>227</v>
      </c>
      <c r="J253" t="s">
        <v>227</v>
      </c>
      <c r="K253">
        <v>798</v>
      </c>
      <c r="L253" t="s">
        <v>27</v>
      </c>
      <c r="M253" t="s">
        <v>25</v>
      </c>
      <c r="N253" t="s">
        <v>180</v>
      </c>
      <c r="O253" t="s">
        <v>181</v>
      </c>
    </row>
    <row r="254" spans="1:15" x14ac:dyDescent="0.3">
      <c r="A254" t="s">
        <v>227</v>
      </c>
      <c r="B254" t="s">
        <v>46</v>
      </c>
      <c r="C254" t="s">
        <v>200</v>
      </c>
      <c r="D254">
        <v>4</v>
      </c>
      <c r="E254" s="1" t="s">
        <v>200</v>
      </c>
      <c r="F254" t="s">
        <v>37</v>
      </c>
      <c r="G254" t="s">
        <v>25</v>
      </c>
      <c r="I254" t="s">
        <v>227</v>
      </c>
      <c r="J254" t="s">
        <v>227</v>
      </c>
      <c r="K254">
        <v>798</v>
      </c>
      <c r="L254" t="s">
        <v>27</v>
      </c>
      <c r="N254" t="s">
        <v>180</v>
      </c>
      <c r="O254" t="s">
        <v>181</v>
      </c>
    </row>
    <row r="255" spans="1:15" x14ac:dyDescent="0.3">
      <c r="A255" t="s">
        <v>227</v>
      </c>
      <c r="B255" t="s">
        <v>46</v>
      </c>
      <c r="C255" t="s">
        <v>203</v>
      </c>
      <c r="D255">
        <v>6</v>
      </c>
      <c r="E255" s="1" t="s">
        <v>203</v>
      </c>
      <c r="F255" t="s">
        <v>37</v>
      </c>
      <c r="G255" t="s">
        <v>25</v>
      </c>
      <c r="I255" t="s">
        <v>227</v>
      </c>
      <c r="J255" t="s">
        <v>227</v>
      </c>
      <c r="K255">
        <v>798</v>
      </c>
      <c r="L255" t="s">
        <v>27</v>
      </c>
      <c r="N255" t="s">
        <v>180</v>
      </c>
      <c r="O255" t="s">
        <v>181</v>
      </c>
    </row>
    <row r="256" spans="1:15" x14ac:dyDescent="0.3">
      <c r="A256" t="s">
        <v>227</v>
      </c>
      <c r="B256" t="s">
        <v>46</v>
      </c>
      <c r="C256" t="s">
        <v>203</v>
      </c>
      <c r="D256">
        <v>37</v>
      </c>
      <c r="E256" s="1" t="s">
        <v>203</v>
      </c>
      <c r="F256" t="s">
        <v>37</v>
      </c>
      <c r="G256" t="s">
        <v>25</v>
      </c>
      <c r="I256" t="s">
        <v>227</v>
      </c>
      <c r="J256" t="s">
        <v>227</v>
      </c>
      <c r="K256">
        <v>798</v>
      </c>
      <c r="L256" t="s">
        <v>27</v>
      </c>
      <c r="N256" t="s">
        <v>180</v>
      </c>
      <c r="O256" t="s">
        <v>181</v>
      </c>
    </row>
    <row r="257" spans="1:15" x14ac:dyDescent="0.3">
      <c r="A257" t="s">
        <v>227</v>
      </c>
      <c r="B257" t="s">
        <v>46</v>
      </c>
      <c r="C257" t="s">
        <v>204</v>
      </c>
      <c r="D257">
        <v>4</v>
      </c>
      <c r="E257" s="1" t="s">
        <v>204</v>
      </c>
      <c r="F257" t="s">
        <v>37</v>
      </c>
      <c r="G257" t="s">
        <v>25</v>
      </c>
      <c r="I257" t="s">
        <v>227</v>
      </c>
      <c r="J257" t="s">
        <v>227</v>
      </c>
      <c r="K257">
        <v>798</v>
      </c>
      <c r="L257" t="s">
        <v>27</v>
      </c>
      <c r="N257" t="s">
        <v>180</v>
      </c>
      <c r="O257" t="s">
        <v>181</v>
      </c>
    </row>
    <row r="258" spans="1:15" x14ac:dyDescent="0.3">
      <c r="A258" t="s">
        <v>229</v>
      </c>
      <c r="B258" t="s">
        <v>46</v>
      </c>
      <c r="C258" t="s">
        <v>228</v>
      </c>
      <c r="D258">
        <v>64</v>
      </c>
      <c r="E258" s="1" t="s">
        <v>228</v>
      </c>
      <c r="F258" t="s">
        <v>25</v>
      </c>
      <c r="I258" t="s">
        <v>229</v>
      </c>
      <c r="J258" t="s">
        <v>229</v>
      </c>
      <c r="K258">
        <v>1287</v>
      </c>
      <c r="L258" t="s">
        <v>27</v>
      </c>
      <c r="N258" t="s">
        <v>48</v>
      </c>
    </row>
    <row r="259" spans="1:15" x14ac:dyDescent="0.3">
      <c r="A259" t="s">
        <v>229</v>
      </c>
      <c r="B259" t="s">
        <v>46</v>
      </c>
      <c r="C259" t="s">
        <v>228</v>
      </c>
      <c r="D259">
        <v>66</v>
      </c>
      <c r="E259" s="1" t="s">
        <v>228</v>
      </c>
      <c r="F259" t="s">
        <v>25</v>
      </c>
      <c r="I259" t="s">
        <v>229</v>
      </c>
      <c r="J259" t="s">
        <v>229</v>
      </c>
      <c r="K259">
        <v>1287</v>
      </c>
      <c r="L259" t="s">
        <v>27</v>
      </c>
      <c r="N259" t="s">
        <v>48</v>
      </c>
    </row>
    <row r="260" spans="1:15" x14ac:dyDescent="0.3">
      <c r="A260" t="s">
        <v>229</v>
      </c>
      <c r="B260" t="s">
        <v>46</v>
      </c>
      <c r="C260" t="s">
        <v>228</v>
      </c>
      <c r="D260">
        <v>63</v>
      </c>
      <c r="E260" s="1" t="s">
        <v>228</v>
      </c>
      <c r="F260" t="s">
        <v>25</v>
      </c>
      <c r="I260" t="s">
        <v>229</v>
      </c>
      <c r="J260" t="s">
        <v>229</v>
      </c>
      <c r="K260">
        <v>1287</v>
      </c>
      <c r="L260" t="s">
        <v>27</v>
      </c>
      <c r="N260" t="s">
        <v>48</v>
      </c>
    </row>
    <row r="261" spans="1:15" x14ac:dyDescent="0.3">
      <c r="A261" t="s">
        <v>229</v>
      </c>
      <c r="B261" t="s">
        <v>46</v>
      </c>
      <c r="C261" t="s">
        <v>149</v>
      </c>
      <c r="D261">
        <v>404</v>
      </c>
      <c r="E261" s="1" t="s">
        <v>149</v>
      </c>
      <c r="F261" t="s">
        <v>25</v>
      </c>
      <c r="I261" t="s">
        <v>229</v>
      </c>
      <c r="J261" t="s">
        <v>229</v>
      </c>
      <c r="K261">
        <v>1287</v>
      </c>
      <c r="L261" t="s">
        <v>27</v>
      </c>
      <c r="N261" t="s">
        <v>48</v>
      </c>
    </row>
    <row r="262" spans="1:15" x14ac:dyDescent="0.3">
      <c r="A262" t="s">
        <v>229</v>
      </c>
      <c r="B262" t="s">
        <v>46</v>
      </c>
      <c r="C262" t="s">
        <v>149</v>
      </c>
      <c r="D262">
        <v>404</v>
      </c>
      <c r="E262" s="1" t="s">
        <v>149</v>
      </c>
      <c r="F262" t="s">
        <v>25</v>
      </c>
      <c r="I262" t="s">
        <v>229</v>
      </c>
      <c r="J262" t="s">
        <v>229</v>
      </c>
      <c r="K262">
        <v>1287</v>
      </c>
      <c r="L262" t="s">
        <v>27</v>
      </c>
      <c r="N262" t="s">
        <v>48</v>
      </c>
    </row>
    <row r="263" spans="1:15" x14ac:dyDescent="0.3">
      <c r="A263" t="s">
        <v>229</v>
      </c>
      <c r="B263" t="s">
        <v>46</v>
      </c>
      <c r="C263" t="s">
        <v>149</v>
      </c>
      <c r="D263">
        <v>405</v>
      </c>
      <c r="E263" s="1" t="s">
        <v>149</v>
      </c>
      <c r="F263" t="s">
        <v>25</v>
      </c>
      <c r="I263" t="s">
        <v>229</v>
      </c>
      <c r="J263" t="s">
        <v>229</v>
      </c>
      <c r="K263">
        <v>1287</v>
      </c>
      <c r="L263" t="s">
        <v>27</v>
      </c>
      <c r="N263" t="s">
        <v>48</v>
      </c>
    </row>
    <row r="264" spans="1:15" x14ac:dyDescent="0.3">
      <c r="A264" t="s">
        <v>229</v>
      </c>
      <c r="B264" t="s">
        <v>46</v>
      </c>
      <c r="C264" t="s">
        <v>149</v>
      </c>
      <c r="D264">
        <v>406</v>
      </c>
      <c r="E264" s="1" t="s">
        <v>149</v>
      </c>
      <c r="F264" t="s">
        <v>25</v>
      </c>
      <c r="I264" t="s">
        <v>229</v>
      </c>
      <c r="J264" t="s">
        <v>229</v>
      </c>
      <c r="K264">
        <v>1287</v>
      </c>
      <c r="L264" t="s">
        <v>27</v>
      </c>
      <c r="N264" t="s">
        <v>48</v>
      </c>
    </row>
    <row r="265" spans="1:15" x14ac:dyDescent="0.3">
      <c r="A265" t="s">
        <v>229</v>
      </c>
      <c r="B265" t="s">
        <v>46</v>
      </c>
      <c r="C265" t="s">
        <v>149</v>
      </c>
      <c r="D265">
        <v>407</v>
      </c>
      <c r="E265" s="1" t="s">
        <v>149</v>
      </c>
      <c r="F265" t="s">
        <v>25</v>
      </c>
      <c r="I265" t="s">
        <v>229</v>
      </c>
      <c r="J265" t="s">
        <v>229</v>
      </c>
      <c r="K265">
        <v>1287</v>
      </c>
      <c r="L265" t="s">
        <v>27</v>
      </c>
      <c r="N265" t="s">
        <v>48</v>
      </c>
    </row>
    <row r="266" spans="1:15" x14ac:dyDescent="0.3">
      <c r="A266" t="s">
        <v>229</v>
      </c>
      <c r="B266" t="s">
        <v>46</v>
      </c>
      <c r="C266" t="s">
        <v>57</v>
      </c>
      <c r="D266">
        <v>20</v>
      </c>
      <c r="E266" s="1" t="s">
        <v>230</v>
      </c>
      <c r="F266" t="s">
        <v>25</v>
      </c>
      <c r="I266" t="s">
        <v>229</v>
      </c>
      <c r="J266" t="s">
        <v>229</v>
      </c>
      <c r="K266">
        <v>1287</v>
      </c>
      <c r="L266" t="s">
        <v>27</v>
      </c>
      <c r="N266" t="s">
        <v>48</v>
      </c>
    </row>
    <row r="267" spans="1:15" x14ac:dyDescent="0.3">
      <c r="A267" t="s">
        <v>229</v>
      </c>
      <c r="B267" t="s">
        <v>46</v>
      </c>
      <c r="C267" t="s">
        <v>57</v>
      </c>
      <c r="D267">
        <v>28</v>
      </c>
      <c r="E267" s="1" t="s">
        <v>230</v>
      </c>
      <c r="F267" t="s">
        <v>25</v>
      </c>
      <c r="I267" t="s">
        <v>229</v>
      </c>
      <c r="J267" t="s">
        <v>229</v>
      </c>
      <c r="K267">
        <v>1287</v>
      </c>
      <c r="L267" t="s">
        <v>27</v>
      </c>
      <c r="N267" t="s">
        <v>48</v>
      </c>
    </row>
    <row r="268" spans="1:15" x14ac:dyDescent="0.3">
      <c r="A268" t="s">
        <v>229</v>
      </c>
      <c r="B268" t="s">
        <v>46</v>
      </c>
      <c r="C268" t="s">
        <v>57</v>
      </c>
      <c r="D268">
        <v>28</v>
      </c>
      <c r="E268" s="1" t="s">
        <v>230</v>
      </c>
      <c r="F268" t="s">
        <v>25</v>
      </c>
      <c r="I268" t="s">
        <v>229</v>
      </c>
      <c r="J268" t="s">
        <v>229</v>
      </c>
      <c r="K268">
        <v>1287</v>
      </c>
      <c r="L268" t="s">
        <v>27</v>
      </c>
      <c r="N268" t="s">
        <v>48</v>
      </c>
    </row>
    <row r="269" spans="1:15" x14ac:dyDescent="0.3">
      <c r="A269" t="s">
        <v>21</v>
      </c>
      <c r="B269" t="s">
        <v>46</v>
      </c>
      <c r="C269" t="s">
        <v>220</v>
      </c>
      <c r="D269">
        <v>154</v>
      </c>
      <c r="E269" s="1" t="s">
        <v>220</v>
      </c>
      <c r="F269" t="s">
        <v>37</v>
      </c>
      <c r="G269" t="s">
        <v>25</v>
      </c>
      <c r="I269" t="s">
        <v>26</v>
      </c>
      <c r="J269" t="s">
        <v>26</v>
      </c>
      <c r="K269">
        <v>547</v>
      </c>
      <c r="L269" t="s">
        <v>27</v>
      </c>
      <c r="N269" t="s">
        <v>180</v>
      </c>
      <c r="O269" t="s">
        <v>231</v>
      </c>
    </row>
    <row r="270" spans="1:15" x14ac:dyDescent="0.3">
      <c r="A270" t="s">
        <v>232</v>
      </c>
      <c r="B270" t="s">
        <v>46</v>
      </c>
      <c r="C270" t="s">
        <v>208</v>
      </c>
      <c r="D270">
        <v>69</v>
      </c>
      <c r="E270" s="1" t="s">
        <v>208</v>
      </c>
      <c r="F270" t="s">
        <v>25</v>
      </c>
      <c r="I270" t="s">
        <v>232</v>
      </c>
      <c r="J270" t="s">
        <v>232</v>
      </c>
      <c r="K270">
        <v>319</v>
      </c>
      <c r="L270" t="s">
        <v>27</v>
      </c>
      <c r="N270" t="s">
        <v>34</v>
      </c>
      <c r="O270" t="s">
        <v>234</v>
      </c>
    </row>
    <row r="271" spans="1:15" x14ac:dyDescent="0.3">
      <c r="A271" t="s">
        <v>232</v>
      </c>
      <c r="B271" t="s">
        <v>46</v>
      </c>
      <c r="C271" t="s">
        <v>233</v>
      </c>
      <c r="D271">
        <v>38</v>
      </c>
      <c r="E271" s="1" t="s">
        <v>233</v>
      </c>
      <c r="F271" t="s">
        <v>25</v>
      </c>
      <c r="I271" t="s">
        <v>232</v>
      </c>
      <c r="J271" t="s">
        <v>232</v>
      </c>
      <c r="K271">
        <v>319</v>
      </c>
      <c r="L271" t="s">
        <v>27</v>
      </c>
      <c r="N271" t="s">
        <v>34</v>
      </c>
      <c r="O271" t="s">
        <v>234</v>
      </c>
    </row>
    <row r="272" spans="1:15" x14ac:dyDescent="0.3">
      <c r="A272" t="s">
        <v>235</v>
      </c>
      <c r="B272" t="s">
        <v>46</v>
      </c>
      <c r="C272" t="s">
        <v>236</v>
      </c>
      <c r="D272">
        <v>77</v>
      </c>
      <c r="E272" s="1" t="s">
        <v>236</v>
      </c>
      <c r="F272" t="s">
        <v>25</v>
      </c>
      <c r="I272" t="s">
        <v>235</v>
      </c>
      <c r="J272" t="s">
        <v>235</v>
      </c>
      <c r="K272">
        <v>916</v>
      </c>
      <c r="L272" t="s">
        <v>27</v>
      </c>
      <c r="N272" t="s">
        <v>48</v>
      </c>
    </row>
    <row r="273" spans="1:14" x14ac:dyDescent="0.3">
      <c r="A273" t="s">
        <v>235</v>
      </c>
      <c r="B273" t="s">
        <v>46</v>
      </c>
      <c r="C273" t="s">
        <v>237</v>
      </c>
      <c r="D273">
        <v>43</v>
      </c>
      <c r="E273" s="1" t="s">
        <v>237</v>
      </c>
      <c r="F273" t="s">
        <v>25</v>
      </c>
      <c r="I273" t="s">
        <v>235</v>
      </c>
      <c r="J273" t="s">
        <v>235</v>
      </c>
      <c r="K273">
        <v>916</v>
      </c>
      <c r="L273" t="s">
        <v>27</v>
      </c>
      <c r="N273" t="s">
        <v>48</v>
      </c>
    </row>
  </sheetData>
  <autoFilter ref="A1:O273" xr:uid="{EEC66D78-084A-4190-9B79-C47C30B02291}"/>
  <dataValidations count="5">
    <dataValidation type="list" allowBlank="1" showInputMessage="1" showErrorMessage="1" sqref="I2:J269 I270:I278 J270:J277" xr:uid="{A360DBB1-EB7E-440A-9769-DB2FE93B6C53}">
      <formula1>$S$2:$S$208</formula1>
    </dataValidation>
    <dataValidation type="list" allowBlank="1" showInputMessage="1" showErrorMessage="1" sqref="H2:H277 F2:G260 G261:G282 F261:F273 M2:M273" xr:uid="{7A17C02B-67ED-4934-AD71-408B6F351E18}">
      <formula1>$R$2:$R$4</formula1>
    </dataValidation>
    <dataValidation type="list" allowBlank="1" showInputMessage="1" showErrorMessage="1" sqref="L2:L273" xr:uid="{EDDD089E-D997-4219-BEDB-8C031858F062}">
      <formula1>$Q$2:$Q$3</formula1>
    </dataValidation>
    <dataValidation type="list" allowBlank="1" showInputMessage="1" showErrorMessage="1" sqref="B2:B373" xr:uid="{2FC42C34-6549-4B60-9C57-A008C29C157C}">
      <formula1>$U$2:$U$5</formula1>
    </dataValidation>
    <dataValidation type="list" allowBlank="1" showInputMessage="1" showErrorMessage="1" sqref="N2:N322" xr:uid="{55DD073C-F572-458B-95E8-51CD3336211D}">
      <formula1>$T$2:$T$7</formula1>
    </dataValidation>
  </dataValidations>
  <hyperlinks>
    <hyperlink ref="E2" r:id="rId1" location="L22" display="https://github.com/rhourani/thesis-owasp-juice-shop/blob/8f016f0f701d767d9a5fa3b225bb7f1759a06429/lib/insecurity.ts - L22" xr:uid="{AAFFB19A-561D-4DB8-9255-50E480B81053}"/>
    <hyperlink ref="E4" r:id="rId2" location="L23" display="https://github.com/rhourani/thesis-owasp-juice-shop/blob/8f016f0f701d767d9a5fa3b225bb7f1759a06429/lib/insecurity.ts - L23" xr:uid="{41465BC8-A349-45AD-B5C4-C9D3CF6415E3}"/>
    <hyperlink ref="E6" r:id="rId3" location="L44" display="https://github.com/rhourani/thesis-owasp-juice-shop/blob/8f016f0f701d767d9a5fa3b225bb7f1759a06429/lib/insecurity.ts - L44" xr:uid="{C8ABC270-5F22-44EF-AAB1-EF329C2F7CA3}"/>
    <hyperlink ref="E7" r:id="rId4" location="L25" display="https://github.com/rhourani/thesis-owasp-juice-shop/blob/8f016f0f701d767d9a5fa3b225bb7f1759a06429/routes/likeProductReviews.ts - L25" xr:uid="{89E3FB84-6644-4FDC-9E42-CCDF901DC70E}"/>
    <hyperlink ref="E10" r:id="rId5" location="L50" display="https://github.com/rhourani/thesis-owasp-juice-shop/blob/8f016f0f701d767d9a5fa3b225bb7f1759a06429/routes/likeProductReviews.ts - L50" xr:uid="{AB740E78-868B-4F12-8EE7-94B8C9BDAC77}"/>
    <hyperlink ref="E11" r:id="rId6" location="L29" display="https://github.com/rhourani/thesis-owasp-juice-shop/blob/8f016f0f701d767d9a5fa3b225bb7f1759a06429/routes/profileImageUrlUpload.ts - L29" xr:uid="{5A179B08-1DC0-4082-8E30-1FA66AF9EC07}"/>
    <hyperlink ref="E5" r:id="rId7" location="L23" display="https://github.com/rhourani/thesis-owasp-juice-shop/blob/8f016f0f701d767d9a5fa3b225bb7f1759a06429/lib/insecurity.ts - L23" xr:uid="{F81234E5-4227-4C9D-BC48-4345A6A7000D}"/>
    <hyperlink ref="E3" r:id="rId8" location="L54" display="https://github.com/rhourani/thesis-owasp-juice-shop/blob/8f016f0f701d767d9a5fa3b225bb7f1759a06429/lib/insecurity.ts - L54" xr:uid="{D2BC9B55-F74B-42F2-AB6E-7854CC6DA0B2}"/>
    <hyperlink ref="E12" r:id="rId9" location="L24" display="https://github.com/rhourani/thesis-owasp-juice-shop/blob/8f016f0f701d767d9a5fa3b225bb7f1759a06429/routes/profileImageUrlUpload.ts - L24" xr:uid="{09BE3DEB-E115-4DC2-A048-571F7BF8C74C}"/>
    <hyperlink ref="E13" r:id="rId10" location="L61" display="https://github.com/rhourani/thesis-owasp-juice-shop/blob/8f016f0f701d767d9a5fa3b225bb7f1759a06429/frontend/src/app/last-login-ip/last-login-ip.component.spec.ts - L61" xr:uid="{5B28ED53-6050-4856-A7CB-125DFF6D0FF4}"/>
    <hyperlink ref="E14" r:id="rId11" location="L38" display="https://github.com/rhourani/thesis-owasp-juice-shop/blob/8f016f0f701d767d9a5fa3b225bb7f1759a06429/frontend/src/app/app.guard.spec.ts - L38" xr:uid="{7F4657D4-9F9F-4F8F-B3AC-3589ED765593}"/>
    <hyperlink ref="E15" r:id="rId12" location="L34" display="https://github.com/rhourani/thesis-owasp-juice-shop/blob/8f016f0f701d767d9a5fa3b225bb7f1759a06429/routes/login.ts - L34" xr:uid="{1089E947-EC87-4E75-897D-7EC5AC2D88D0}"/>
    <hyperlink ref="E16" r:id="rId13" location="L23" display="https://github.com/rhourani/thesis-owasp-juice-shop/blob/8f016f0f701d767d9a5fa3b225bb7f1759a06429/routes/search.ts - L23" xr:uid="{90181F0F-7357-4ECC-9B30-1B5EDDFB7E98}"/>
    <hyperlink ref="E17" r:id="rId14" location="L10" display="https://github.com/rhourani/thesis-owasp-juice-shop/blob/8f016f0f701d767d9a5fa3b225bb7f1759a06429/data/static/codefixes/unionSqlInjectionChallenge_3.ts - L10" xr:uid="{01924712-CA3E-4AE5-8BC2-1DD92AD76F50}"/>
    <hyperlink ref="E18" r:id="rId15" location="L6" display="https://github.com/rhourani/thesis-owasp-juice-shop/blob/8f016f0f701d767d9a5fa3b225bb7f1759a06429/data/static/codefixes/unionSqlInjectionChallenge_1.ts - L6" xr:uid="{C56F241D-0A80-49AD-AFFC-710B2DD388F6}"/>
    <hyperlink ref="E19" r:id="rId16" location="L5" display="https://github.com/rhourani/thesis-owasp-juice-shop/blob/8f016f0f701d767d9a5fa3b225bb7f1759a06429/data/static/codefixes/dbSchemaChallenge_1.ts - L5" xr:uid="{FB47D72A-241A-427B-8E2D-ED9FB3CF1158}"/>
    <hyperlink ref="E20" r:id="rId17" location="L14" display="https://github.com/rhourani/thesis-owasp-juice-shop/blob/8f016f0f701d767d9a5fa3b225bb7f1759a06429/routes/logfileServer.ts - L14" xr:uid="{D18BF6A2-3CDA-4E71-A82A-73FBA60887F8}"/>
    <hyperlink ref="E21" r:id="rId18" location="L14" display="https://github.com/rhourani/thesis-owasp-juice-shop/blob/8f016f0f701d767d9a5fa3b225bb7f1759a06429/routes/keyServer.ts - L14" xr:uid="{296B3688-3C3D-441E-B6F0-39480C52B1BE}"/>
    <hyperlink ref="E22" r:id="rId19" location="L17" display="https://github.com/rhourani/thesis-owasp-juice-shop/blob/8f016f0f701d767d9a5fa3b225bb7f1759a06429/routes/updateProductReviews.ts - L17" xr:uid="{28AEC504-618A-457F-85E4-EEA6ECFF17A3}"/>
    <hyperlink ref="E23" r:id="rId20" location="L14" display="https://github.com/rhourani/thesis-owasp-juice-shop/blob/8f016f0f701d767d9a5fa3b225bb7f1759a06429/routes/quarantineServer.ts - L14" xr:uid="{53DC9614-82AC-460C-ACDD-D37369686D1F}"/>
    <hyperlink ref="E24" r:id="rId21" location="L33" display="https://github.com/rhourani/thesis-owasp-juice-shop/blob/8f016f0f701d767d9a5fa3b225bb7f1759a06429/routes/fileServer.ts - L33" xr:uid="{68EF656D-781C-4019-8423-1D82A6B734EA}"/>
    <hyperlink ref="E25" r:id="rId22" location="L97" display="https://github.com/rhourani/thesis-owasp-juice-shop/blob/8f016f0f701d767d9a5fa3b225bb7f1759a06429/routes/userProfile.ts - L97" xr:uid="{5FA0D412-BD23-4177-9B63-B78364334B9E}"/>
    <hyperlink ref="E26" r:id="rId23" location="L17" display="https://github.com/rhourani/thesis-owasp-juice-shop/blob/8f016f0f701d767d9a5fa3b225bb7f1759a06429/routes/recycles.ts - L17" xr:uid="{5DA4992F-7685-47C8-9B9E-5A9EE2A305DA}"/>
    <hyperlink ref="E27" r:id="rId24" location="L161" display="https://github.com/rhourani/thesis-owasp-juice-shop/blob/8f016f0f701d767d9a5fa3b225bb7f1759a06429/frontend/src/app/search-result/search-result.component.ts - L161" xr:uid="{45A585D9-9683-47BC-957A-75F2DA993F56}"/>
    <hyperlink ref="E28" r:id="rId25" location="L84" display="https://github.com/rhourani/thesis-owasp-juice-shop/blob/8f016f0f701d767d9a5fa3b225bb7f1759a06429/frontend/src/app/oauth/oauth.component.spec.ts - L84" xr:uid="{E415A5F5-2194-41C7-ABD3-74901B84E5E5}"/>
    <hyperlink ref="E29" r:id="rId26" location="L91" display="https://github.com/rhourani/thesis-owasp-juice-shop/blob/8f016f0f701d767d9a5fa3b225bb7f1759a06429/frontend/src/app/oauth/oauth.component.spec.ts - L91" xr:uid="{A7CBEDA3-69C8-41E8-A044-483EDF3320B3}"/>
    <hyperlink ref="E30" r:id="rId27" location="L84" display="https://github.com/rhourani/thesis-owasp-juice-shop/blob/8f016f0f701d767d9a5fa3b225bb7f1759a06429/frontend/src/app/oauth/oauth.component.spec.ts - L84" xr:uid="{7814C653-1505-48D8-A0B2-9FD5299F58C3}"/>
    <hyperlink ref="E31" r:id="rId28" location="L65" display="https://github.com/rhourani/thesis-owasp-juice-shop/blob/8f016f0f701d767d9a5fa3b225bb7f1759a06429/frontend/src/app/Services/two-factor-auth-service.spec.ts - L65" xr:uid="{C6DA7356-04B7-40FC-AEA1-EC9491233CF8}"/>
    <hyperlink ref="E32" r:id="rId29" location="L81" display="https://github.com/rhourani/thesis-owasp-juice-shop/blob/8f016f0f701d767d9a5fa3b225bb7f1759a06429/frontend/src/app/Services/two-factor-auth-service.spec.ts - L81" xr:uid="{F998C8CA-DA99-46D2-8915-81EA3BD0B490}"/>
    <hyperlink ref="E33" r:id="rId30" location="L87" display="https://github.com/rhourani/thesis-owasp-juice-shop/blob/8f016f0f701d767d9a5fa3b225bb7f1759a06429/routes/dataErasure.ts - L87" xr:uid="{21538F75-E682-4E2F-838E-13796BB31576}"/>
    <hyperlink ref="E34" r:id="rId31" location="L54" display="https://github.com/rhourani/thesis-owasp-juice-shop/blob/8f016f0f701d767d9a5fa3b225bb7f1759a06429/routes/dataErasure.ts - L54" xr:uid="{020CA0ED-60F6-49BC-A798-2094AFD78547}"/>
    <hyperlink ref="E35" r:id="rId32" location="L55" display="https://github.com/rhourani/thesis-owasp-juice-shop/blob/8f016f0f701d767d9a5fa3b225bb7f1759a06429/frontend/src/app/data-export/data-export.component.ts - L55" xr:uid="{CCBE28B8-391A-43F9-BE95-63B0956ABD90}"/>
    <hyperlink ref="E36" r:id="rId33" location="L64" display="https://github.com/rhourani/thesis-owasp-juice-shop/blob/8f016f0f701d767d9a5fa3b225bb7f1759a06429/frontend/src/app/data-export/data-export.component.ts - L64" xr:uid="{BA31FFE5-AEB4-4036-B418-F57E8664A793}"/>
    <hyperlink ref="E37" r:id="rId34" location="L57" display="https://github.com/rhourani/thesis-owasp-juice-shop/blob/8f016f0f701d767d9a5fa3b225bb7f1759a06429/frontend/src/app/administration/administration.component.ts - L57" xr:uid="{4307D5B7-62FC-49A2-A212-DAC37B443A3B}"/>
    <hyperlink ref="E38" r:id="rId35" location="L75" display="https://github.com/rhourani/thesis-owasp-juice-shop/blob/8f016f0f701d767d9a5fa3b225bb7f1759a06429/frontend/src/app/administration/administration.component.ts - L75" xr:uid="{7706805D-BED6-4904-BF1B-C3FBFBE411B8}"/>
    <hyperlink ref="E39" r:id="rId36" location="L129" display="https://github.com/rhourani/thesis-owasp-juice-shop/blob/8f016f0f701d767d9a5fa3b225bb7f1759a06429/server.ts - L129" xr:uid="{477B4835-6953-4565-866D-B22D08BFE99B}"/>
    <hyperlink ref="E41" r:id="rId37" location="L67" display="https://github.com/rhourani/thesis-owasp-juice-shop/blob/8f016f0f701d767d9a5fa3b225bb7f1759a06429/lib/accuracy.ts - L67" xr:uid="{842D8A50-84CC-41C9-ABF3-723ECAD3B5D9}"/>
    <hyperlink ref="E40" r:id="rId38" location="L28" display="https://github.com/rhourani/thesis-owasp-juice-shop/blob/8f016f0f701d767d9a5fa3b225bb7f1759a06429/routes/errorHandler.ts - L28" xr:uid="{C5BD44ED-2959-4533-BE45-ACB4B962E80F}"/>
    <hyperlink ref="E42" r:id="rId39" location="L19" display="https://github.com/rhourani/thesis-owasp-juice-shop/blob/8f016f0f701d767d9a5fa3b225bb7f1759a06429/routes/redirect.ts - L19" xr:uid="{E95DA06F-4647-4364-A4FF-95D300892ADA}"/>
    <hyperlink ref="E43" r:id="rId40" location="L20" display="https://github.com/rhourani/thesis-owasp-juice-shop/blob/8f016f0f701d767d9a5fa3b225bb7f1759a06429/routes/authenticatedUsers.ts - L20" xr:uid="{369AC6DB-7804-4C1D-979E-E32E75AC68D2}"/>
    <hyperlink ref="E44" r:id="rId41" location="L52" display="https://github.com/rhourani/thesis-owasp-juice-shop/blob/8f016f0f701d767d9a5fa3b225bb7f1759a06429/routes/videoHandler.ts - L52" xr:uid="{893FD71E-E793-44B0-AA83-E7FB33D0F2C2}"/>
    <hyperlink ref="E45" r:id="rId42" location="L12" display="https://github.com/rhourani/thesis-owasp-juice-shop/blob/8f016f0f701d767d9a5fa3b225bb7f1759a06429/routes/privacyPolicyProof.ts - L12" xr:uid="{506EDD2D-2C08-40F5-BC72-2EA5D53F1366}"/>
    <hyperlink ref="E46" r:id="rId43" location="L12" display="https://github.com/rhourani/thesis-owasp-juice-shop/blob/8f016f0f701d767d9a5fa3b225bb7f1759a06429/routes/premiumReward.ts - L12" xr:uid="{F83D6B59-DFF9-45A8-8806-B108B1BB4A59}"/>
    <hyperlink ref="E47" r:id="rId44" location="L11" display="https://github.com/rhourani/thesis-owasp-juice-shop/blob/8f016f0f701d767d9a5fa3b225bb7f1759a06429/routes/languages.ts - L11" xr:uid="{91AA93C3-A7E3-4E06-82D6-4DEF82A0F28B}"/>
    <hyperlink ref="E48" r:id="rId45" location="L12" display="https://github.com/rhourani/thesis-owasp-juice-shop/blob/8f016f0f701d767d9a5fa3b225bb7f1759a06429/routes/easterEgg.ts - L12" xr:uid="{E685E6E5-4D29-49FE-B354-9438582CBB14}"/>
    <hyperlink ref="E49" r:id="rId46" location="L38" display="https://github.com/rhourani/thesis-owasp-juice-shop/blob/8f016f0f701d767d9a5fa3b225bb7f1759a06429/frontend/src/app/last-login-ip/last-login-ip.component.ts - L38" xr:uid="{FB264A3C-C3B1-47D8-92D0-E85C237EA651}"/>
    <hyperlink ref="E50" r:id="rId47" location="L45" display="https://github.com/rhourani/thesis-owasp-juice-shop/blob/8f016f0f701d767d9a5fa3b225bb7f1759a06429/frontend/src/app/track-result/track-result.component.ts - L45" xr:uid="{2770EAFC-33EF-4C6E-AE9A-EF797DB94B4A}"/>
    <hyperlink ref="E51" r:id="rId48" location="L121" display="https://github.com/rhourani/thesis-owasp-juice-shop/blob/8f016f0f701d767d9a5fa3b225bb7f1759a06429/frontend/src/app/about/about.component.ts - L121" xr:uid="{2685D35A-36E8-4967-B4C7-A6A92A0076C8}"/>
    <hyperlink ref="E52" r:id="rId49" location="L67" display="https://github.com/rhourani/thesis-owasp-juice-shop/blob/8f016f0f701d767d9a5fa3b225bb7f1759a06429/lib/accuracy.ts - L67" xr:uid="{C5523D68-C206-49D3-9D6E-53A75A8173EA}"/>
    <hyperlink ref="E53" r:id="rId50" location="L17" display="https://github.com/rhourani/thesis-owasp-juice-shop/blob/8f016f0f701d767d9a5fa3b225bb7f1759a06429/routes/profileImageUrlUpload.ts - L17" xr:uid="{101A7B1A-C259-4DED-A981-5F4423008480}"/>
    <hyperlink ref="E54" r:id="rId51" location="L19" display="https://github.com/rhourani/thesis-owasp-juice-shop/blob/8f016f0f701d767d9a5fa3b225bb7f1759a06429/test/api/userProfileSpec.ts - L19" xr:uid="{28D3474D-DE28-4DD1-8169-003526A22B26}"/>
    <hyperlink ref="E55" r:id="rId52" location="L20" xr:uid="{C657B7D8-A8AC-4398-88D2-7E7F17F906AF}"/>
    <hyperlink ref="E56" r:id="rId53" location="L21" tooltip="https://github.com/rhourani/thesis-owasp-juice-shop/tree/8f016f0f701d767d9a5fa3b225bb7f1759a06429/test/api/basketItemApiSpec.ts#L21" display="https://github.com/rhourani/thesis-owasp-juice-shop/tree/8f016f0f701d767d9a5fa3b225bb7f1759a06429/test/api/basketItemApiSpec.ts - L21" xr:uid="{CAC93883-2A54-4151-B350-587509CB2F2A}"/>
    <hyperlink ref="E57" r:id="rId54" location="L20" tooltip="https://github.com/rhourani/thesis-owasp-juice-shop/tree/8f016f0f701d767d9a5fa3b225bb7f1759a06429/test/api/addressApiSpec.ts#L20" display="https://github.com/rhourani/thesis-owasp-juice-shop/tree/8f016f0f701d767d9a5fa3b225bb7f1759a06429/test/api/addressApiSpec.ts - L20" xr:uid="{88C5A297-4CFB-4316-9DF5-9399CDF6C603}"/>
    <hyperlink ref="E58" r:id="rId55" location="L4" tooltip="https://github.com/rhourani/thesis-owasp-juice-shop/tree/8f016f0f701d767d9a5fa3b225bb7f1759a06429/test/cypress/e2e/restApi.spec.ts#L4" display="https://github.com/rhourani/thesis-owasp-juice-shop/tree/8f016f0f701d767d9a5fa3b225bb7f1759a06429/test/cypress/e2e/restApi.spec.ts - L4" xr:uid="{B2464472-2B32-4C46-B8D9-837B4C0EF437}"/>
    <hyperlink ref="E59" r:id="rId56" location="L80" tooltip="https://github.com/rhourani/thesis-owasp-juice-shop/tree/8f016f0f701d767d9a5fa3b225bb7f1759a06429/test/cypress/e2e/restApi.spec.ts#L80" display="https://github.com/rhourani/thesis-owasp-juice-shop/tree/8f016f0f701d767d9a5fa3b225bb7f1759a06429/test/cypress/e2e/restApi.spec.ts - L80" xr:uid="{42E0EAF8-3EEB-4F57-87E9-002138C0BE92}"/>
    <hyperlink ref="E60" r:id="rId57" location="L24" tooltip="https://github.com/rhourani/thesis-owasp-juice-shop/tree/8f016f0f701d767d9a5fa3b225bb7f1759a06429/test/cypress/e2e/dataExport.spec.ts#L24" display="https://github.com/rhourani/thesis-owasp-juice-shop/tree/8f016f0f701d767d9a5fa3b225bb7f1759a06429/test/cypress/e2e/dataExport.spec.ts - L24" xr:uid="{663288E5-8882-4128-96F3-E9F46B1878D0}"/>
    <hyperlink ref="E61" r:id="rId58" location="L4" tooltip="https://github.com/rhourani/thesis-owasp-juice-shop/tree/8f016f0f701d767d9a5fa3b225bb7f1759a06429/test/cypress/e2e/totpSetup.spec.ts#L4" display="https://github.com/rhourani/thesis-owasp-juice-shop/tree/8f016f0f701d767d9a5fa3b225bb7f1759a06429/test/cypress/e2e/totpSetup.spec.ts - L4" xr:uid="{A8097B98-B3BD-487C-A616-A430A4C1E4CF}"/>
    <hyperlink ref="E62" r:id="rId59" location="L18" tooltip="https://github.com/rhourani/thesis-owasp-juice-shop/tree/8f016f0f701d767d9a5fa3b225bb7f1759a06429/test/cypress/e2e/totpSetup.spec.ts#L18" display="https://github.com/rhourani/thesis-owasp-juice-shop/tree/8f016f0f701d767d9a5fa3b225bb7f1759a06429/test/cypress/e2e/totpSetup.spec.ts - L18" xr:uid="{43B1CB66-C04D-4F32-B900-F593DA415E47}"/>
    <hyperlink ref="E63" r:id="rId60" location="L81" tooltip="https://github.com/rhourani/thesis-owasp-juice-shop/tree/8f016f0f701d767d9a5fa3b225bb7f1759a06429/test/cypress/e2e/search.spec.ts#L81" display="https://github.com/rhourani/thesis-owasp-juice-shop/tree/8f016f0f701d767d9a5fa3b225bb7f1759a06429/test/cypress/e2e/search.spec.ts - L81" xr:uid="{9E26A2F7-8778-4B32-8B7C-FC5545F888D7}"/>
    <hyperlink ref="E64" r:id="rId61" location="L54" tooltip="https://github.com/rhourani/thesis-owasp-juice-shop/tree/8f016f0f701d767d9a5fa3b225bb7f1759a06429/test/cypress/e2e/search.spec.ts#L54" display="https://github.com/rhourani/thesis-owasp-juice-shop/tree/8f016f0f701d767d9a5fa3b225bb7f1759a06429/test/cypress/e2e/search.spec.ts - L54" xr:uid="{DE293F4E-DFDE-4DEA-8DAA-5DA5CA2AAED0}"/>
    <hyperlink ref="E65" r:id="rId62" location="L3" tooltip="https://github.com/rhourani/thesis-owasp-juice-shop/tree/8f016f0f701d767d9a5fa3b225bb7f1759a06429/test/cypress/e2e/profile.spec.ts#L3" display="https://github.com/rhourani/thesis-owasp-juice-shop/tree/8f016f0f701d767d9a5fa3b225bb7f1759a06429/test/cypress/e2e/profile.spec.ts - L3" xr:uid="{CBF6C8BE-F99F-49DE-BFBF-C2704E52530E}"/>
    <hyperlink ref="E66" r:id="rId63" location="L19" display="https://github.com/rhourani/thesis-owasp-juice-shop/blob/8f016f0f701d767d9a5fa3b225bb7f1759a06429/test/cypress/e2e/deluxe.spec.ts - L19" xr:uid="{80D05668-82DA-4D26-B8E0-D214CEF4C737}"/>
    <hyperlink ref="E67" r:id="rId64" location="L4" tooltip="https://github.com/rhourani/thesis-owasp-juice-shop/tree/8f016f0f701d767d9a5fa3b225bb7f1759a06429/test/cypress/e2e/deluxe.spec.ts#L4" display="https://github.com/rhourani/thesis-owasp-juice-shop/tree/8f016f0f701d767d9a5fa3b225bb7f1759a06429/test/cypress/e2e/deluxe.spec.ts - L4" xr:uid="{369E307F-2A2F-42AD-B98B-D1E26A688EC4}"/>
    <hyperlink ref="E68" r:id="rId65" location="L3" tooltip="https://github.com/rhourani/thesis-owasp-juice-shop/tree/8f016f0f701d767d9a5fa3b225bb7f1759a06429/test/cypress/e2e/dataErasure.spec.ts#L3" display="https://github.com/rhourani/thesis-owasp-juice-shop/tree/8f016f0f701d767d9a5fa3b225bb7f1759a06429/test/cypress/e2e/dataErasure.spec.ts - L3" xr:uid="{121AE130-0C2C-4B67-8925-3300ED02C2E1}"/>
    <hyperlink ref="E69" r:id="rId66" location="L11" tooltip="https://github.com/rhourani/thesis-owasp-juice-shop/tree/8f016f0f701d767d9a5fa3b225bb7f1759a06429/test/cypress/e2e/contact.spec.ts#L11" display="https://github.com/rhourani/thesis-owasp-juice-shop/tree/8f016f0f701d767d9a5fa3b225bb7f1759a06429/test/cypress/e2e/contact.spec.ts - L11" xr:uid="{B480E1B4-D4E4-4FDC-9A5D-C3F2F878BB54}"/>
    <hyperlink ref="E70" r:id="rId67" location="L47" tooltip="https://github.com/rhourani/thesis-owasp-juice-shop/tree/8f016f0f701d767d9a5fa3b225bb7f1759a06429/test/cypress/e2e/contact.spec.ts#L47" display="https://github.com/rhourani/thesis-owasp-juice-shop/tree/8f016f0f701d767d9a5fa3b225bb7f1759a06429/test/cypress/e2e/contact.spec.ts - L47" xr:uid="{A36A9FE1-6294-47EB-B95C-3B84E647FA6F}"/>
    <hyperlink ref="E71" r:id="rId68" location="L3" tooltip="https://github.com/rhourani/thesis-owasp-juice-shop/tree/8f016f0f701d767d9a5fa3b225bb7f1759a06429/test/cypress/e2e/complain.spec.ts#L3" display="https://github.com/rhourani/thesis-owasp-juice-shop/tree/8f016f0f701d767d9a5fa3b225bb7f1759a06429/test/cypress/e2e/complain.spec.ts - L3" xr:uid="{10D077C4-B166-4DE5-B79A-50E2DDA99DA7}"/>
    <hyperlink ref="E72" r:id="rId69" location="L3" tooltip="https://github.com/rhourani/thesis-owasp-juice-shop/tree/8f016f0f701d767d9a5fa3b225bb7f1759a06429/test/cypress/e2e/chatbot.spec.ts#L3" display="https://github.com/rhourani/thesis-owasp-juice-shop/tree/8f016f0f701d767d9a5fa3b225bb7f1759a06429/test/cypress/e2e/chatbot.spec.ts - L3" xr:uid="{0EE72B98-42B4-4AFE-AE78-8B538416BE18}"/>
    <hyperlink ref="E73" r:id="rId70" location="L20" tooltip="https://github.com/rhourani/thesis-owasp-juice-shop/tree/8f016f0f701d767d9a5fa3b225bb7f1759a06429/test/api/passwordApiSpec.ts#L20" display="https://github.com/rhourani/thesis-owasp-juice-shop/tree/8f016f0f701d767d9a5fa3b225bb7f1759a06429/test/api/passwordApiSpec.ts - L20" xr:uid="{FF84AED9-0558-4687-A2B8-211429F6964C}"/>
    <hyperlink ref="E74" r:id="rId71" location="L29" tooltip="https://github.com/rhourani/thesis-owasp-juice-shop/tree/8f016f0f701d767d9a5fa3b225bb7f1759a06429/test/api/passwordApiSpec.ts#L29" display="https://github.com/rhourani/thesis-owasp-juice-shop/tree/8f016f0f701d767d9a5fa3b225bb7f1759a06429/test/api/passwordApiSpec.ts - L29" xr:uid="{A47D2741-7387-4880-B8B4-DF3E2D525689}"/>
    <hyperlink ref="E75" r:id="rId72" location="L47" tooltip="https://github.com/rhourani/thesis-owasp-juice-shop/tree/8f016f0f701d767d9a5fa3b225bb7f1759a06429/test/api/passwordApiSpec.ts#L47" display="https://github.com/rhourani/thesis-owasp-juice-shop/tree/8f016f0f701d767d9a5fa3b225bb7f1759a06429/test/api/passwordApiSpec.ts - L47" xr:uid="{A9A5AB61-0012-498A-ABD5-15AF17FA9295}"/>
    <hyperlink ref="E76" r:id="rId73" location="L93" tooltip="https://github.com/rhourani/thesis-owasp-juice-shop/tree/8f016f0f701d767d9a5fa3b225bb7f1759a06429/test/api/passwordApiSpec.ts#L93" display="https://github.com/rhourani/thesis-owasp-juice-shop/tree/8f016f0f701d767d9a5fa3b225bb7f1759a06429/test/api/passwordApiSpec.ts - L93" xr:uid="{658430E6-069B-4FDF-B66D-6223DD40C5ED}"/>
    <hyperlink ref="E77" r:id="rId74" location="L4" tooltip="https://github.com/rhourani/thesis-owasp-juice-shop/tree/8f016f0f701d767d9a5fa3b225bb7f1759a06429/test/cypress/e2e/changePassword.spec.ts#L4" display="https://github.com/rhourani/thesis-owasp-juice-shop/tree/8f016f0f701d767d9a5fa3b225bb7f1759a06429/test/cypress/e2e/changePassword.spec.ts - L4" xr:uid="{FA0200A3-B81D-48AB-A01C-B40E875167E3}"/>
    <hyperlink ref="E78" r:id="rId75" location="L23" tooltip="https://github.com/rhourani/thesis-owasp-juice-shop/tree/8f016f0f701d767d9a5fa3b225bb7f1759a06429/test/cypress/e2e/changePassword.spec.ts#L23" display="https://github.com/rhourani/thesis-owasp-juice-shop/tree/8f016f0f701d767d9a5fa3b225bb7f1759a06429/test/cypress/e2e/changePassword.spec.ts - L23" xr:uid="{785CF020-1F73-4E7F-B155-E77AE90DE24C}"/>
    <hyperlink ref="E79" r:id="rId76" location="L31" tooltip="https://github.com/rhourani/thesis-owasp-juice-shop/tree/8f016f0f701d767d9a5fa3b225bb7f1759a06429/test/cypress/e2e/changePassword.spec.ts#L31" display="https://github.com/rhourani/thesis-owasp-juice-shop/tree/8f016f0f701d767d9a5fa3b225bb7f1759a06429/test/cypress/e2e/changePassword.spec.ts - L31" xr:uid="{08E7835A-3AEB-4562-B96D-F32F8302EA9F}"/>
    <hyperlink ref="E80" r:id="rId77" location="L4" tooltip="https://github.com/rhourani/thesis-owasp-juice-shop/tree/8f016f0f701d767d9a5fa3b225bb7f1759a06429/test/cypress/e2e/basket.spec.ts#L4" display="https://github.com/rhourani/thesis-owasp-juice-shop/tree/8f016f0f701d767d9a5fa3b225bb7f1759a06429/test/cypress/e2e/basket.spec.ts - L4" xr:uid="{A1223066-F9AF-48AE-950C-8588B7BF6FD0}"/>
    <hyperlink ref="E81" r:id="rId78" location="L76" tooltip="https://github.com/rhourani/thesis-owasp-juice-shop/tree/8f016f0f701d767d9a5fa3b225bb7f1759a06429/test/cypress/e2e/basket.spec.ts#L76" display="https://github.com/rhourani/thesis-owasp-juice-shop/tree/8f016f0f701d767d9a5fa3b225bb7f1759a06429/test/cypress/e2e/basket.spec.ts - L76" xr:uid="{4ECA1F7D-6A87-4648-9334-5728BC13E8C1}"/>
    <hyperlink ref="E82" r:id="rId79" location="L84" tooltip="https://github.com/rhourani/thesis-owasp-juice-shop/tree/8f016f0f701d767d9a5fa3b225bb7f1759a06429/test/cypress/e2e/register.spec.ts#L84" display="https://github.com/rhourani/thesis-owasp-juice-shop/tree/8f016f0f701d767d9a5fa3b225bb7f1759a06429/test/cypress/e2e/register.spec.ts - L84" xr:uid="{63878832-6313-4F72-8015-989FAB7F9155}"/>
    <hyperlink ref="E83" r:id="rId80" location="L8" tooltip="https://github.com/rhourani/thesis-owasp-juice-shop/tree/8f016f0f701d767d9a5fa3b225bb7f1759a06429/test/cypress/e2e/register.spec.ts#L8" display="https://github.com/rhourani/thesis-owasp-juice-shop/tree/8f016f0f701d767d9a5fa3b225bb7f1759a06429/test/cypress/e2e/register.spec.ts - L8" xr:uid="{0D871E23-C322-421A-82E9-381EF5278C5A}"/>
    <hyperlink ref="E84" r:id="rId81" location="L76" tooltip="https://github.com/rhourani/thesis-owasp-juice-shop/tree/8f016f0f701d767d9a5fa3b225bb7f1759a06429/test/cypress/e2e/noSql.spec.ts#L76" display="https://github.com/rhourani/thesis-owasp-juice-shop/tree/8f016f0f701d767d9a5fa3b225bb7f1759a06429/test/cypress/e2e/noSql.spec.ts - L76" xr:uid="{8FEBBD8E-01EA-4CA0-9AA0-AE08122D30B3}"/>
    <hyperlink ref="E85" r:id="rId82" location="L120" tooltip="https://github.com/rhourani/thesis-owasp-juice-shop/tree/8f016f0f701d767d9a5fa3b225bb7f1759a06429/test/cypress/e2e/noSql.spec.ts#L120" display="https://github.com/rhourani/thesis-owasp-juice-shop/tree/8f016f0f701d767d9a5fa3b225bb7f1759a06429/test/cypress/e2e/noSql.spec.ts - L120" xr:uid="{CDF6D316-F4D3-4D85-A254-93206BADF5D6}"/>
    <hyperlink ref="E86" r:id="rId83" location="L8" tooltip="https://github.com/rhourani/thesis-owasp-juice-shop/tree/8f016f0f701d767d9a5fa3b225bb7f1759a06429/test/cypress/e2e/noSql.spec.ts#L8" display="https://github.com/rhourani/thesis-owasp-juice-shop/tree/8f016f0f701d767d9a5fa3b225bb7f1759a06429/test/cypress/e2e/noSql.spec.ts - L8" xr:uid="{187F5185-3E7C-40D3-A93D-704711DB72B3}"/>
    <hyperlink ref="E87" r:id="rId84" location="L53" tooltip="https://github.com/rhourani/thesis-owasp-juice-shop/tree/8f016f0f701d767d9a5fa3b225bb7f1759a06429/test/cypress/e2e/noSql.spec.ts#L53" display="https://github.com/rhourani/thesis-owasp-juice-shop/tree/8f016f0f701d767d9a5fa3b225bb7f1759a06429/test/cypress/e2e/noSql.spec.ts - L53" xr:uid="{A9671844-F942-4EB1-B31F-959473AC56AE}"/>
    <hyperlink ref="E88" r:id="rId85" location="L6" tooltip="https://github.com/rhourani/thesis-owasp-juice-shop/tree/8f016f0f701d767d9a5fa3b225bb7f1759a06429/test/cypress/e2e/b2bOrder.spec.ts#L6" display="https://github.com/rhourani/thesis-owasp-juice-shop/tree/8f016f0f701d767d9a5fa3b225bb7f1759a06429/test/cypress/e2e/b2bOrder.spec.ts - L6" xr:uid="{41921100-869D-40C6-B7B0-0C8C89BE66C1}"/>
    <hyperlink ref="E89" r:id="rId86" location="L37" tooltip="https://github.com/rhourani/thesis-owasp-juice-shop/tree/8f016f0f701d767d9a5fa3b225bb7f1759a06429/test/cypress/e2e/b2bOrder.spec.ts#L37" display="https://github.com/rhourani/thesis-owasp-juice-shop/tree/8f016f0f701d767d9a5fa3b225bb7f1759a06429/test/cypress/e2e/b2bOrder.spec.ts - L37" xr:uid="{EB0F5DEB-C9FB-431E-9828-92CDF6C4D74A}"/>
    <hyperlink ref="E90" r:id="rId87" location="L3" tooltip="https://github.com/rhourani/thesis-owasp-juice-shop/tree/8f016f0f701d767d9a5fa3b225bb7f1759a06429/test/cypress/e2e/administration.spec.ts#L3" display="https://github.com/rhourani/thesis-owasp-juice-shop/tree/8f016f0f701d767d9a5fa3b225bb7f1759a06429/test/cypress/e2e/administration.spec.ts - L3" xr:uid="{B8972329-952A-4D42-A1EC-3FA02F78450B}"/>
    <hyperlink ref="E91" r:id="rId88" location="L45" tooltip="https://github.com/rhourani/thesis-owasp-juice-shop/tree/8f016f0f701d767d9a5fa3b225bb7f1759a06429/test/api/userApiSpec.ts#L45" display="https://github.com/rhourani/thesis-owasp-juice-shop/tree/8f016f0f701d767d9a5fa3b225bb7f1759a06429/test/api/userApiSpec.ts - L45" xr:uid="{6153DA77-4D8B-462F-8099-CE771DB4DF19}"/>
    <hyperlink ref="E92" r:id="rId89" location="L63" tooltip="https://github.com/rhourani/thesis-owasp-juice-shop/tree/8f016f0f701d767d9a5fa3b225bb7f1759a06429/test/api/userApiSpec.ts#L63" display="https://github.com/rhourani/thesis-owasp-juice-shop/tree/8f016f0f701d767d9a5fa3b225bb7f1759a06429/test/api/userApiSpec.ts - L63" xr:uid="{4FA6EAFC-F4A9-4FB0-AEC9-CD23E3354266}"/>
    <hyperlink ref="E93" r:id="rId90" location="L139" tooltip="https://github.com/rhourani/thesis-owasp-juice-shop/tree/8f016f0f701d767d9a5fa3b225bb7f1759a06429/test/api/userApiSpec.ts#L139" display="https://github.com/rhourani/thesis-owasp-juice-shop/tree/8f016f0f701d767d9a5fa3b225bb7f1759a06429/test/api/userApiSpec.ts - L139" xr:uid="{1773584D-7023-4284-8847-8449FE22260A}"/>
    <hyperlink ref="E94" r:id="rId91" location="L161" tooltip="https://github.com/rhourani/thesis-owasp-juice-shop/tree/8f016f0f701d767d9a5fa3b225bb7f1759a06429/test/api/userApiSpec.ts#L161" display="https://github.com/rhourani/thesis-owasp-juice-shop/tree/8f016f0f701d767d9a5fa3b225bb7f1759a06429/test/api/userApiSpec.ts - L161" xr:uid="{8CE8798E-6569-4099-BF36-9A05F30AB8A8}"/>
    <hyperlink ref="E95" r:id="rId92" location="L183" tooltip="https://github.com/rhourani/thesis-owasp-juice-shop/tree/8f016f0f701d767d9a5fa3b225bb7f1759a06429/test/api/userApiSpec.ts#L183" display="https://github.com/rhourani/thesis-owasp-juice-shop/tree/8f016f0f701d767d9a5fa3b225bb7f1759a06429/test/api/userApiSpec.ts - L183" xr:uid="{060272BF-9122-4433-AC70-D10D28E3B129}"/>
    <hyperlink ref="E96" r:id="rId93" location="L202" tooltip="https://github.com/rhourani/thesis-owasp-juice-shop/tree/8f016f0f701d767d9a5fa3b225bb7f1759a06429/test/api/userApiSpec.ts#L202" display="https://github.com/rhourani/thesis-owasp-juice-shop/tree/8f016f0f701d767d9a5fa3b225bb7f1759a06429/test/api/userApiSpec.ts - L202" xr:uid="{9999F2B7-2247-43A0-8F8B-C0762F88755C}"/>
    <hyperlink ref="E97" r:id="rId94" location="L256" tooltip="https://github.com/rhourani/thesis-owasp-juice-shop/tree/8f016f0f701d767d9a5fa3b225bb7f1759a06429/test/api/userApiSpec.ts#L256" display="https://github.com/rhourani/thesis-owasp-juice-shop/tree/8f016f0f701d767d9a5fa3b225bb7f1759a06429/test/api/userApiSpec.ts - L256" xr:uid="{057ADFDE-AB3D-4664-B01F-98917F637E87}"/>
    <hyperlink ref="E98" r:id="rId95" location="L25" tooltip="https://github.com/rhourani/thesis-owasp-juice-shop/tree/8f016f0f701d767d9a5fa3b225bb7f1759a06429/test/api/profileImageUploadSpec.ts#L25" display="https://github.com/rhourani/thesis-owasp-juice-shop/tree/8f016f0f701d767d9a5fa3b225bb7f1759a06429/test/api/profileImageUploadSpec.ts - L25" xr:uid="{ABFD8C92-11B3-46E9-8626-0C359B2C4393}"/>
    <hyperlink ref="E99" r:id="rId96" location="L52" tooltip="https://github.com/rhourani/thesis-owasp-juice-shop/tree/8f016f0f701d767d9a5fa3b225bb7f1759a06429/test/api/profileImageUploadSpec.ts#L52" display="https://github.com/rhourani/thesis-owasp-juice-shop/tree/8f016f0f701d767d9a5fa3b225bb7f1759a06429/test/api/profileImageUploadSpec.ts - L52" xr:uid="{36FF5D8C-196B-47BC-A963-6CA090506119}"/>
    <hyperlink ref="E100" r:id="rId97" location="L97" tooltip="https://github.com/rhourani/thesis-owasp-juice-shop/tree/8f016f0f701d767d9a5fa3b225bb7f1759a06429/test/api/profileImageUploadSpec.ts#L97" display="https://github.com/rhourani/thesis-owasp-juice-shop/tree/8f016f0f701d767d9a5fa3b225bb7f1759a06429/test/api/profileImageUploadSpec.ts - L97" xr:uid="{1339B717-2F95-4C13-913E-F9E0A17DEAEB}"/>
    <hyperlink ref="E101" r:id="rId98" location="L123" tooltip="https://github.com/rhourani/thesis-owasp-juice-shop/tree/8f016f0f701d767d9a5fa3b225bb7f1759a06429/test/api/profileImageUploadSpec.ts#L123" display="https://github.com/rhourani/thesis-owasp-juice-shop/tree/8f016f0f701d767d9a5fa3b225bb7f1759a06429/test/api/profileImageUploadSpec.ts - L123" xr:uid="{AAC6AE9E-73F2-4BD6-8C33-41D8A4206F90}"/>
    <hyperlink ref="E102" r:id="rId99" location="L164" tooltip="https://github.com/rhourani/thesis-owasp-juice-shop/tree/8f016f0f701d767d9a5fa3b225bb7f1759a06429/test/api/profileImageUploadSpec.ts#L164" display="https://github.com/rhourani/thesis-owasp-juice-shop/tree/8f016f0f701d767d9a5fa3b225bb7f1759a06429/test/api/profileImageUploadSpec.ts - L164" xr:uid="{A3E8688D-64AD-4738-901A-E6A6EA235853}"/>
    <hyperlink ref="E103" r:id="rId100" location="L21" tooltip="https://github.com/rhourani/thesis-owasp-juice-shop/tree/8f016f0f701d767d9a5fa3b225bb7f1759a06429/test/api/quantityApiSpec.ts#L21" display="https://github.com/rhourani/thesis-owasp-juice-shop/tree/8f016f0f701d767d9a5fa3b225bb7f1759a06429/test/api/quantityApiSpec.ts - L21" xr:uid="{97C4A9F4-54D7-47C8-8528-1DADCA84DF97}"/>
    <hyperlink ref="E104" r:id="rId101" location="L38" tooltip="https://github.com/rhourani/thesis-owasp-juice-shop/tree/8f016f0f701d767d9a5fa3b225bb7f1759a06429/test/api/quantityApiSpec.ts#L38" display="https://github.com/rhourani/thesis-owasp-juice-shop/tree/8f016f0f701d767d9a5fa3b225bb7f1759a06429/test/api/quantityApiSpec.ts - L38" xr:uid="{6051818A-AFE9-4EA2-A0BF-3B9A20E412E0}"/>
    <hyperlink ref="E105" r:id="rId102" location="L55" tooltip="https://github.com/rhourani/thesis-owasp-juice-shop/tree/8f016f0f701d767d9a5fa3b225bb7f1759a06429/test/api/quantityApiSpec.ts#L55" display="https://github.com/rhourani/thesis-owasp-juice-shop/tree/8f016f0f701d767d9a5fa3b225bb7f1759a06429/test/api/quantityApiSpec.ts - L55" xr:uid="{C02ED342-4EB1-4E01-BEE8-075E9034F15B}"/>
    <hyperlink ref="E106" r:id="rId103" location="L72" tooltip="https://github.com/rhourani/thesis-owasp-juice-shop/tree/8f016f0f701d767d9a5fa3b225bb7f1759a06429/test/api/quantityApiSpec.ts#L72" display="https://github.com/rhourani/thesis-owasp-juice-shop/tree/8f016f0f701d767d9a5fa3b225bb7f1759a06429/test/api/quantityApiSpec.ts - L72" xr:uid="{FAE81ECC-1197-4874-9F9E-0560BCC5731A}"/>
    <hyperlink ref="E107" r:id="rId104" location="L93" tooltip="https://github.com/rhourani/thesis-owasp-juice-shop/tree/8f016f0f701d767d9a5fa3b225bb7f1759a06429/test/api/quantityApiSpec.ts#L93" display="https://github.com/rhourani/thesis-owasp-juice-shop/tree/8f016f0f701d767d9a5fa3b225bb7f1759a06429/test/api/quantityApiSpec.ts - L93" xr:uid="{85295D44-951A-42D5-B225-1F5A4299E0F4}"/>
    <hyperlink ref="E108" r:id="rId105" location="L114" tooltip="https://github.com/rhourani/thesis-owasp-juice-shop/tree/8f016f0f701d767d9a5fa3b225bb7f1759a06429/test/api/quantityApiSpec.ts#L114" display="https://github.com/rhourani/thesis-owasp-juice-shop/tree/8f016f0f701d767d9a5fa3b225bb7f1759a06429/test/api/quantityApiSpec.ts - L114" xr:uid="{14343A00-ECDF-4E57-9078-B1503254A3F1}"/>
    <hyperlink ref="E109" r:id="rId106" location="L137" tooltip="https://github.com/rhourani/thesis-owasp-juice-shop/tree/8f016f0f701d767d9a5fa3b225bb7f1759a06429/test/api/quantityApiSpec.ts#L137" display="https://github.com/rhourani/thesis-owasp-juice-shop/tree/8f016f0f701d767d9a5fa3b225bb7f1759a06429/test/api/quantityApiSpec.ts - L137" xr:uid="{8DE28B3E-FC29-435F-9C64-5A57580CE345}"/>
    <hyperlink ref="E110" r:id="rId107" location="L155" tooltip="https://github.com/rhourani/thesis-owasp-juice-shop/tree/8f016f0f701d767d9a5fa3b225bb7f1759a06429/test/api/quantityApiSpec.ts#L155" display="https://github.com/rhourani/thesis-owasp-juice-shop/tree/8f016f0f701d767d9a5fa3b225bb7f1759a06429/test/api/quantityApiSpec.ts - L155" xr:uid="{EEE08B53-35BC-4652-9CD0-84F1A2B978EE}"/>
    <hyperlink ref="E111" r:id="rId108" location="L173" tooltip="https://github.com/rhourani/thesis-owasp-juice-shop/tree/8f016f0f701d767d9a5fa3b225bb7f1759a06429/test/api/quantityApiSpec.ts#L173" display="https://github.com/rhourani/thesis-owasp-juice-shop/tree/8f016f0f701d767d9a5fa3b225bb7f1759a06429/test/api/quantityApiSpec.ts - L173" xr:uid="{BCC7F5C0-B00B-4C34-B2B6-CD80CA729D7A}"/>
    <hyperlink ref="E112" r:id="rId109" location="L190" tooltip="https://github.com/rhourani/thesis-owasp-juice-shop/tree/8f016f0f701d767d9a5fa3b225bb7f1759a06429/test/api/quantityApiSpec.ts#L190" display="https://github.com/rhourani/thesis-owasp-juice-shop/tree/8f016f0f701d767d9a5fa3b225bb7f1759a06429/test/api/quantityApiSpec.ts - L190" xr:uid="{EB36468E-E7F5-484B-B268-FA2F7A5A2377}"/>
    <hyperlink ref="E113" r:id="rId110" location="L309" tooltip="https://github.com/rhourani/thesis-owasp-juice-shop/tree/8f016f0f701d767d9a5fa3b225bb7f1759a06429/test/api/quantityApiSpec.ts#L309" display="https://github.com/rhourani/thesis-owasp-juice-shop/tree/8f016f0f701d767d9a5fa3b225bb7f1759a06429/test/api/quantityApiSpec.ts - L309" xr:uid="{EF25646C-ED1F-4C1D-93E5-0B31F6D9A2C5}"/>
    <hyperlink ref="E114" r:id="rId111" location="L326" tooltip="https://github.com/rhourani/thesis-owasp-juice-shop/tree/8f016f0f701d767d9a5fa3b225bb7f1759a06429/test/api/quantityApiSpec.ts#L326" display="https://github.com/rhourani/thesis-owasp-juice-shop/tree/8f016f0f701d767d9a5fa3b225bb7f1759a06429/test/api/quantityApiSpec.ts - L326" xr:uid="{D2031894-2050-4C94-9232-F88C7FDF5F69}"/>
    <hyperlink ref="E115" r:id="rId112" location="L207" tooltip="https://github.com/rhourani/thesis-owasp-juice-shop/tree/8f016f0f701d767d9a5fa3b225bb7f1759a06429/test/api/quantityApiSpec.ts#L207" display="https://github.com/rhourani/thesis-owasp-juice-shop/tree/8f016f0f701d767d9a5fa3b225bb7f1759a06429/test/api/quantityApiSpec.ts - L207" xr:uid="{AFBE1B23-3C05-4CCC-8B7D-4967125E1380}"/>
    <hyperlink ref="E116" r:id="rId113" location="L228" tooltip="https://github.com/rhourani/thesis-owasp-juice-shop/tree/8f016f0f701d767d9a5fa3b225bb7f1759a06429/test/api/quantityApiSpec.ts#L228" display="https://github.com/rhourani/thesis-owasp-juice-shop/tree/8f016f0f701d767d9a5fa3b225bb7f1759a06429/test/api/quantityApiSpec.ts - L228" xr:uid="{8B15AD82-C45A-4817-9519-EC1B1EE157D8}"/>
    <hyperlink ref="E117" r:id="rId114" location="L249" tooltip="https://github.com/rhourani/thesis-owasp-juice-shop/tree/8f016f0f701d767d9a5fa3b225bb7f1759a06429/test/api/quantityApiSpec.ts#L249" display="https://github.com/rhourani/thesis-owasp-juice-shop/tree/8f016f0f701d767d9a5fa3b225bb7f1759a06429/test/api/quantityApiSpec.ts - L249" xr:uid="{7B8B1A50-E552-4E7F-9EF5-D9AF4E9EAE54}"/>
    <hyperlink ref="E118" r:id="rId115" location="L269" tooltip="https://github.com/rhourani/thesis-owasp-juice-shop/tree/8f016f0f701d767d9a5fa3b225bb7f1759a06429/test/api/quantityApiSpec.ts#L269" display="https://github.com/rhourani/thesis-owasp-juice-shop/tree/8f016f0f701d767d9a5fa3b225bb7f1759a06429/test/api/quantityApiSpec.ts - L269" xr:uid="{4A679D5C-F85F-4B89-8BAC-359A05BDA3C6}"/>
    <hyperlink ref="E119" r:id="rId116" location="L292" tooltip="https://github.com/rhourani/thesis-owasp-juice-shop/tree/8f016f0f701d767d9a5fa3b225bb7f1759a06429/test/api/quantityApiSpec.ts#L292" display="https://github.com/rhourani/thesis-owasp-juice-shop/tree/8f016f0f701d767d9a5fa3b225bb7f1759a06429/test/api/quantityApiSpec.ts - L292" xr:uid="{14909985-35A8-45EC-8CA6-A6D3DCB84A78}"/>
    <hyperlink ref="E120" r:id="rId117" location="L112" tooltip="https://github.com/rhourani/thesis-owasp-juice-shop/tree/8f016f0f701d767d9a5fa3b225bb7f1759a06429/test/api/productReviewApiSpec.ts#L112" display="https://github.com/rhourani/thesis-owasp-juice-shop/tree/8f016f0f701d767d9a5fa3b225bb7f1759a06429/test/api/productReviewApiSpec.ts - L112" xr:uid="{2003CF2A-564E-4A27-85F7-94AFD76C2DF7}"/>
    <hyperlink ref="E121" r:id="rId118" location="L132" tooltip="https://github.com/rhourani/thesis-owasp-juice-shop/tree/8f016f0f701d767d9a5fa3b225bb7f1759a06429/test/api/productReviewApiSpec.ts#L132" display="https://github.com/rhourani/thesis-owasp-juice-shop/tree/8f016f0f701d767d9a5fa3b225bb7f1759a06429/test/api/productReviewApiSpec.ts - L132" xr:uid="{EF0FAB61-1222-441F-A137-5E2B9C4853C8}"/>
    <hyperlink ref="E122" r:id="rId119" location="L149" tooltip="https://github.com/rhourani/thesis-owasp-juice-shop/tree/8f016f0f701d767d9a5fa3b225bb7f1759a06429/test/api/orderHistoryApiSpec.ts#L149" display="https://github.com/rhourani/thesis-owasp-juice-shop/tree/8f016f0f701d767d9a5fa3b225bb7f1759a06429/test/api/orderHistoryApiSpec.ts - L149" xr:uid="{D23CE4F5-64BC-405C-8E25-AECF526A938A}"/>
    <hyperlink ref="E123" r:id="rId120" location="L56" tooltip="https://github.com/rhourani/thesis-owasp-juice-shop/tree/8f016f0f701d767d9a5fa3b225bb7f1759a06429/test/api/orderHistoryApiSpec.ts#L56" display="https://github.com/rhourani/thesis-owasp-juice-shop/tree/8f016f0f701d767d9a5fa3b225bb7f1759a06429/test/api/orderHistoryApiSpec.ts - L56" xr:uid="{0107A90B-5B2A-4347-A386-E2756565EC94}"/>
    <hyperlink ref="E124" r:id="rId121" location="L73" tooltip="https://github.com/rhourani/thesis-owasp-juice-shop/tree/8f016f0f701d767d9a5fa3b225bb7f1759a06429/test/api/orderHistoryApiSpec.ts#L73" display="https://github.com/rhourani/thesis-owasp-juice-shop/tree/8f016f0f701d767d9a5fa3b225bb7f1759a06429/test/api/orderHistoryApiSpec.ts - L73" xr:uid="{D7621EAC-7144-4AFB-BF27-2E930206A2A0}"/>
    <hyperlink ref="E125" r:id="rId122" location="L90" tooltip="https://github.com/rhourani/thesis-owasp-juice-shop/tree/8f016f0f701d767d9a5fa3b225bb7f1759a06429/test/api/orderHistoryApiSpec.ts#L90" display="https://github.com/rhourani/thesis-owasp-juice-shop/tree/8f016f0f701d767d9a5fa3b225bb7f1759a06429/test/api/orderHistoryApiSpec.ts - L90" xr:uid="{985D534E-9B77-4080-BDB7-29879623B13B}"/>
    <hyperlink ref="E126" r:id="rId123" location="L109" tooltip="https://github.com/rhourani/thesis-owasp-juice-shop/tree/8f016f0f701d767d9a5fa3b225bb7f1759a06429/test/api/orderHistoryApiSpec.ts#L109" display="https://github.com/rhourani/thesis-owasp-juice-shop/tree/8f016f0f701d767d9a5fa3b225bb7f1759a06429/test/api/orderHistoryApiSpec.ts - L109" xr:uid="{026868E8-4065-49A5-BD0E-8FD5F170248A}"/>
    <hyperlink ref="E127" r:id="rId124" location="L129" tooltip="https://github.com/rhourani/thesis-owasp-juice-shop/tree/8f016f0f701d767d9a5fa3b225bb7f1759a06429/test/api/orderHistoryApiSpec.ts#L129" display="https://github.com/rhourani/thesis-owasp-juice-shop/tree/8f016f0f701d767d9a5fa3b225bb7f1759a06429/test/api/orderHistoryApiSpec.ts - L129" xr:uid="{476CC291-E071-4ADB-8863-F3E63352A2A6}"/>
    <hyperlink ref="E128" r:id="rId125" location="L19" tooltip="https://github.com/rhourani/thesis-owasp-juice-shop/tree/8f016f0f701d767d9a5fa3b225bb7f1759a06429/test/api/orderHistoryApiSpec.ts#L19" display="https://github.com/rhourani/thesis-owasp-juice-shop/tree/8f016f0f701d767d9a5fa3b225bb7f1759a06429/test/api/orderHistoryApiSpec.ts - L19" xr:uid="{39B3354C-F0F6-4AC7-9B63-73D8E7EA5135}"/>
    <hyperlink ref="E129" r:id="rId126" location="L26" tooltip="https://github.com/rhourani/thesis-owasp-juice-shop/tree/8f016f0f701d767d9a5fa3b225bb7f1759a06429/test/api/memoryApiSpec.ts#L26" display="https://github.com/rhourani/thesis-owasp-juice-shop/tree/8f016f0f701d767d9a5fa3b225bb7f1759a06429/test/api/memoryApiSpec.ts - L26" xr:uid="{9E02D4D3-ED51-4994-B4D5-8963BA085703}"/>
    <hyperlink ref="E130" r:id="rId127" location="L64" tooltip="https://github.com/rhourani/thesis-owasp-juice-shop/tree/8f016f0f701d767d9a5fa3b225bb7f1759a06429/test/api/memoryApiSpec.ts#L64" display="https://github.com/rhourani/thesis-owasp-juice-shop/tree/8f016f0f701d767d9a5fa3b225bb7f1759a06429/test/api/memoryApiSpec.ts - L64" xr:uid="{E2B12D40-94C2-478F-AAA8-5772D6DB59C9}"/>
    <hyperlink ref="E131" r:id="rId128" location="L86" tooltip="https://github.com/rhourani/thesis-owasp-juice-shop/tree/8f016f0f701d767d9a5fa3b225bb7f1759a06429/test/api/memoryApiSpec.ts#L86" display="https://github.com/rhourani/thesis-owasp-juice-shop/tree/8f016f0f701d767d9a5fa3b225bb7f1759a06429/test/api/memoryApiSpec.ts - L86" xr:uid="{CC8E2BFC-8500-4464-9F20-C66FC197C0C9}"/>
    <hyperlink ref="E132" r:id="rId129" location="L112" tooltip="https://github.com/rhourani/thesis-owasp-juice-shop/tree/8f016f0f701d767d9a5fa3b225bb7f1759a06429/test/api/memoryApiSpec.ts#L112" display="https://github.com/rhourani/thesis-owasp-juice-shop/tree/8f016f0f701d767d9a5fa3b225bb7f1759a06429/test/api/memoryApiSpec.ts - L112" xr:uid="{CA63E61B-CF4D-41E7-9A25-71685F6AADA5}"/>
    <hyperlink ref="E133" r:id="rId130" location="L142" tooltip="https://github.com/rhourani/thesis-owasp-juice-shop/tree/8f016f0f701d767d9a5fa3b225bb7f1759a06429/test/api/memoryApiSpec.ts#L142" display="https://github.com/rhourani/thesis-owasp-juice-shop/tree/8f016f0f701d767d9a5fa3b225bb7f1759a06429/test/api/memoryApiSpec.ts - L142" xr:uid="{A9BAC9BD-E6ED-4A2B-912A-AC35C1D8480A}"/>
    <hyperlink ref="E134" r:id="rId131" location="L21" tooltip="https://github.com/rhourani/thesis-owasp-juice-shop/tree/8f016f0f701d767d9a5fa3b225bb7f1759a06429/test/api/loginApiSpec.ts#L21" display="https://github.com/rhourani/thesis-owasp-juice-shop/tree/8f016f0f701d767d9a5fa3b225bb7f1759a06429/test/api/loginApiSpec.ts - L21" xr:uid="{2FC489A2-9AC5-4E2E-B734-4902798D9600}"/>
    <hyperlink ref="E135" r:id="rId132" location="L30" tooltip="https://github.com/rhourani/thesis-owasp-juice-shop/tree/8f016f0f701d767d9a5fa3b225bb7f1759a06429/test/api/loginApiSpec.ts#L30" display="https://github.com/rhourani/thesis-owasp-juice-shop/tree/8f016f0f701d767d9a5fa3b225bb7f1759a06429/test/api/loginApiSpec.ts - L30" xr:uid="{F2F34FEF-D698-428F-8C9B-390463E9CA5E}"/>
    <hyperlink ref="E136" r:id="rId133" location="L46" tooltip="https://github.com/rhourani/thesis-owasp-juice-shop/tree/8f016f0f701d767d9a5fa3b225bb7f1759a06429/test/api/loginApiSpec.ts#L46" display="https://github.com/rhourani/thesis-owasp-juice-shop/tree/8f016f0f701d767d9a5fa3b225bb7f1759a06429/test/api/loginApiSpec.ts - L46" xr:uid="{B7F99CA8-6863-4B98-A2F4-B815861CC888}"/>
    <hyperlink ref="E137" r:id="rId134" location="L64" tooltip="https://github.com/rhourani/thesis-owasp-juice-shop/tree/8f016f0f701d767d9a5fa3b225bb7f1759a06429/test/api/loginApiSpec.ts#L64" display="https://github.com/rhourani/thesis-owasp-juice-shop/tree/8f016f0f701d767d9a5fa3b225bb7f1759a06429/test/api/loginApiSpec.ts - L64" xr:uid="{AC15F7F9-40DA-46FC-BD04-085A2E6B9C56}"/>
    <hyperlink ref="E138" r:id="rId135" location="L79" tooltip="https://github.com/rhourani/thesis-owasp-juice-shop/tree/8f016f0f701d767d9a5fa3b225bb7f1759a06429/test/api/loginApiSpec.ts#L79" display="https://github.com/rhourani/thesis-owasp-juice-shop/tree/8f016f0f701d767d9a5fa3b225bb7f1759a06429/test/api/loginApiSpec.ts - L79" xr:uid="{6C94F4E5-F163-42CE-B187-C449C6487697}"/>
    <hyperlink ref="E139" r:id="rId136" location="L94" tooltip="https://github.com/rhourani/thesis-owasp-juice-shop/tree/8f016f0f701d767d9a5fa3b225bb7f1759a06429/test/api/loginApiSpec.ts#L94" display="https://github.com/rhourani/thesis-owasp-juice-shop/tree/8f016f0f701d767d9a5fa3b225bb7f1759a06429/test/api/loginApiSpec.ts - L94" xr:uid="{C2377192-542A-4048-868C-0FDB68B991A9}"/>
    <hyperlink ref="E140" r:id="rId137" location="L109" tooltip="https://github.com/rhourani/thesis-owasp-juice-shop/tree/8f016f0f701d767d9a5fa3b225bb7f1759a06429/test/api/loginApiSpec.ts#L109" display="https://github.com/rhourani/thesis-owasp-juice-shop/tree/8f016f0f701d767d9a5fa3b225bb7f1759a06429/test/api/loginApiSpec.ts - L109" xr:uid="{C4EA3FBF-06D5-4803-9339-FA9AA2689D67}"/>
    <hyperlink ref="E141" r:id="rId138" location="L124" tooltip="https://github.com/rhourani/thesis-owasp-juice-shop/tree/8f016f0f701d767d9a5fa3b225bb7f1759a06429/test/api/loginApiSpec.ts#L124" display="https://github.com/rhourani/thesis-owasp-juice-shop/tree/8f016f0f701d767d9a5fa3b225bb7f1759a06429/test/api/loginApiSpec.ts - L124" xr:uid="{0E237EAC-6876-40B1-89E2-9C1370D07866}"/>
    <hyperlink ref="E142" r:id="rId139" location="L142" tooltip="https://github.com/rhourani/thesis-owasp-juice-shop/tree/8f016f0f701d767d9a5fa3b225bb7f1759a06429/test/api/loginApiSpec.ts#L142" display="https://github.com/rhourani/thesis-owasp-juice-shop/tree/8f016f0f701d767d9a5fa3b225bb7f1759a06429/test/api/loginApiSpec.ts - L142" xr:uid="{8F3724CB-6A1D-4744-BFD8-8BAC0455771F}"/>
    <hyperlink ref="E143" r:id="rId140" location="L245" tooltip="https://github.com/rhourani/thesis-owasp-juice-shop/tree/8f016f0f701d767d9a5fa3b225bb7f1759a06429/test/api/loginApiSpec.ts#L245" display="https://github.com/rhourani/thesis-owasp-juice-shop/tree/8f016f0f701d767d9a5fa3b225bb7f1759a06429/test/api/loginApiSpec.ts - L245" xr:uid="{666EE8DC-5398-4D72-ACE8-CF8D2E5A1F4A}"/>
    <hyperlink ref="E144" r:id="rId141" location="L266" tooltip="https://github.com/rhourani/thesis-owasp-juice-shop/tree/8f016f0f701d767d9a5fa3b225bb7f1759a06429/test/api/loginApiSpec.ts#L266" display="https://github.com/rhourani/thesis-owasp-juice-shop/tree/8f016f0f701d767d9a5fa3b225bb7f1759a06429/test/api/loginApiSpec.ts - L266" xr:uid="{01D22515-7C0F-4E1E-8481-13297BA1594A}"/>
    <hyperlink ref="E145" r:id="rId142" location="L120" tooltip="https://github.com/rhourani/thesis-owasp-juice-shop/tree/8f016f0f701d767d9a5fa3b225bb7f1759a06429/test/api/feedbackApiSpec.ts#L120" display="https://github.com/rhourani/thesis-owasp-juice-shop/tree/8f016f0f701d767d9a5fa3b225bb7f1759a06429/test/api/feedbackApiSpec.ts - L120" xr:uid="{8EDD7AD0-B889-4B18-BDEF-91916CD64C09}"/>
    <hyperlink ref="E146" r:id="rId143" location="L153" tooltip="https://github.com/rhourani/thesis-owasp-juice-shop/tree/8f016f0f701d767d9a5fa3b225bb7f1759a06429/test/api/feedbackApiSpec.ts#L153" display="https://github.com/rhourani/thesis-owasp-juice-shop/tree/8f016f0f701d767d9a5fa3b225bb7f1759a06429/test/api/feedbackApiSpec.ts - L153" xr:uid="{CEA68AAB-FD87-4B3B-BEC5-BAA68BA1396D}"/>
    <hyperlink ref="E147" r:id="rId144" location="L18" tooltip="https://github.com/rhourani/thesis-owasp-juice-shop/tree/8f016f0f701d767d9a5fa3b225bb7f1759a06429/test/api/erasureRequestApiSpec.ts#L18" display="https://github.com/rhourani/thesis-owasp-juice-shop/tree/8f016f0f701d767d9a5fa3b225bb7f1759a06429/test/api/erasureRequestApiSpec.ts - L18" xr:uid="{79F63732-D1CC-4107-90F5-0DFE15CB25CE}"/>
    <hyperlink ref="E148" r:id="rId145" location="L119" tooltip="https://github.com/rhourani/thesis-owasp-juice-shop/tree/8f016f0f701d767d9a5fa3b225bb7f1759a06429/test/api/erasureRequestApiSpec.ts#L119" display="https://github.com/rhourani/thesis-owasp-juice-shop/tree/8f016f0f701d767d9a5fa3b225bb7f1759a06429/test/api/erasureRequestApiSpec.ts - L119" xr:uid="{265740C9-E832-444E-9676-11D7464C25BF}"/>
    <hyperlink ref="E149" r:id="rId146" location="L140" tooltip="https://github.com/rhourani/thesis-owasp-juice-shop/tree/8f016f0f701d767d9a5fa3b225bb7f1759a06429/test/api/erasureRequestApiSpec.ts#L140" display="https://github.com/rhourani/thesis-owasp-juice-shop/tree/8f016f0f701d767d9a5fa3b225bb7f1759a06429/test/api/erasureRequestApiSpec.ts - L140" xr:uid="{50B961A2-BD32-4B83-A67E-A18762F4945B}"/>
    <hyperlink ref="E150" r:id="rId147" location="L37" tooltip="https://github.com/rhourani/thesis-owasp-juice-shop/tree/8f016f0f701d767d9a5fa3b225bb7f1759a06429/test/api/erasureRequestApiSpec.ts#L37" display="https://github.com/rhourani/thesis-owasp-juice-shop/tree/8f016f0f701d767d9a5fa3b225bb7f1759a06429/test/api/erasureRequestApiSpec.ts - L37" xr:uid="{6140CB3E-C366-4B38-8AD1-A72CED4FFB0F}"/>
    <hyperlink ref="E151" r:id="rId148" location="L64" tooltip="https://github.com/rhourani/thesis-owasp-juice-shop/tree/8f016f0f701d767d9a5fa3b225bb7f1759a06429/test/api/erasureRequestApiSpec.ts#L64" display="https://github.com/rhourani/thesis-owasp-juice-shop/tree/8f016f0f701d767d9a5fa3b225bb7f1759a06429/test/api/erasureRequestApiSpec.ts - L64" xr:uid="{2C9A8BA2-0E6E-466A-80D9-36A287CB7035}"/>
    <hyperlink ref="E152" r:id="rId149" location="L80" tooltip="https://github.com/rhourani/thesis-owasp-juice-shop/tree/8f016f0f701d767d9a5fa3b225bb7f1759a06429/test/api/erasureRequestApiSpec.ts#L80" display="https://github.com/rhourani/thesis-owasp-juice-shop/tree/8f016f0f701d767d9a5fa3b225bb7f1759a06429/test/api/erasureRequestApiSpec.ts - L80" xr:uid="{5DFE6396-D8A9-4A5F-842A-988C60046F35}"/>
    <hyperlink ref="E153" r:id="rId150" location="L99" tooltip="https://github.com/rhourani/thesis-owasp-juice-shop/tree/8f016f0f701d767d9a5fa3b225bb7f1759a06429/test/api/erasureRequestApiSpec.ts#L99" display="https://github.com/rhourani/thesis-owasp-juice-shop/tree/8f016f0f701d767d9a5fa3b225bb7f1759a06429/test/api/erasureRequestApiSpec.ts - L99" xr:uid="{01E80DCA-C2F6-4722-B96E-759527553D76}"/>
    <hyperlink ref="E154" r:id="rId151" location="L89" tooltip="https://github.com/rhourani/thesis-owasp-juice-shop/tree/8f016f0f701d767d9a5fa3b225bb7f1759a06429/test/api/deluxeApiSpec.ts#L89" display="https://github.com/rhourani/thesis-owasp-juice-shop/tree/8f016f0f701d767d9a5fa3b225bb7f1759a06429/test/api/deluxeApiSpec.ts - L89" xr:uid="{9FBC1DBA-EBB3-4BED-A426-93A0C6C035CB}"/>
    <hyperlink ref="E155" r:id="rId152" location="L13" tooltip="https://github.com/rhourani/thesis-owasp-juice-shop/tree/8f016f0f701d767d9a5fa3b225bb7f1759a06429/test/api/deluxeApiSpec.ts#L13" display="https://github.com/rhourani/thesis-owasp-juice-shop/tree/8f016f0f701d767d9a5fa3b225bb7f1759a06429/test/api/deluxeApiSpec.ts - L13" xr:uid="{4A846FF5-4802-4D8F-BF26-D5F7D9289247}"/>
    <hyperlink ref="E156" r:id="rId153" location="L35" tooltip="https://github.com/rhourani/thesis-owasp-juice-shop/tree/8f016f0f701d767d9a5fa3b225bb7f1759a06429/test/api/deluxeApiSpec.ts#L35" display="https://github.com/rhourani/thesis-owasp-juice-shop/tree/8f016f0f701d767d9a5fa3b225bb7f1759a06429/test/api/deluxeApiSpec.ts - L35" xr:uid="{58B5A68A-1ECF-4A62-9D61-E07AEF2FDDD3}"/>
    <hyperlink ref="E157" r:id="rId154" location="L53" tooltip="https://github.com/rhourani/thesis-owasp-juice-shop/tree/8f016f0f701d767d9a5fa3b225bb7f1759a06429/test/api/deluxeApiSpec.ts#L53" display="https://github.com/rhourani/thesis-owasp-juice-shop/tree/8f016f0f701d767d9a5fa3b225bb7f1759a06429/test/api/deluxeApiSpec.ts - L53" xr:uid="{2E4E1B98-54A1-4819-8AF5-73EDD99297B0}"/>
    <hyperlink ref="E158" r:id="rId155" location="L71" tooltip="https://github.com/rhourani/thesis-owasp-juice-shop/tree/8f016f0f701d767d9a5fa3b225bb7f1759a06429/test/api/deluxeApiSpec.ts#L71" display="https://github.com/rhourani/thesis-owasp-juice-shop/tree/8f016f0f701d767d9a5fa3b225bb7f1759a06429/test/api/deluxeApiSpec.ts - L71" xr:uid="{DD10654A-428A-4B8F-A131-7B86D5F35A8D}"/>
    <hyperlink ref="E159" r:id="rId156" location="L105" tooltip="https://github.com/rhourani/thesis-owasp-juice-shop/tree/8f016f0f701d767d9a5fa3b225bb7f1759a06429/test/api/deluxeApiSpec.ts#L105" display="https://github.com/rhourani/thesis-owasp-juice-shop/tree/8f016f0f701d767d9a5fa3b225bb7f1759a06429/test/api/deluxeApiSpec.ts - L105" xr:uid="{A2CD86B9-72BE-4964-9CF7-06A8761D731A}"/>
    <hyperlink ref="E160" r:id="rId157" location="L129" tooltip="https://github.com/rhourani/thesis-owasp-juice-shop/tree/8f016f0f701d767d9a5fa3b225bb7f1759a06429/test/api/deluxeApiSpec.ts#L129" display="https://github.com/rhourani/thesis-owasp-juice-shop/tree/8f016f0f701d767d9a5fa3b225bb7f1759a06429/test/api/deluxeApiSpec.ts - L129" xr:uid="{E9BCEDDD-F96B-4A98-9CC8-05AA28313F14}"/>
    <hyperlink ref="E161" r:id="rId158" location="L149" tooltip="https://github.com/rhourani/thesis-owasp-juice-shop/tree/8f016f0f701d767d9a5fa3b225bb7f1759a06429/test/api/deluxeApiSpec.ts#L149" display="https://github.com/rhourani/thesis-owasp-juice-shop/tree/8f016f0f701d767d9a5fa3b225bb7f1759a06429/test/api/deluxeApiSpec.ts - L149" xr:uid="{27FB6F76-4112-4085-8D41-71D5C4462025}"/>
    <hyperlink ref="E162" r:id="rId159" location="L170" tooltip="https://github.com/rhourani/thesis-owasp-juice-shop/tree/8f016f0f701d767d9a5fa3b225bb7f1759a06429/test/api/deluxeApiSpec.ts#L170" display="https://github.com/rhourani/thesis-owasp-juice-shop/tree/8f016f0f701d767d9a5fa3b225bb7f1759a06429/test/api/deluxeApiSpec.ts - L170" xr:uid="{FB5A8BB1-1691-4F6A-A300-8FC190052543}"/>
    <hyperlink ref="E163" r:id="rId160" location="L191" tooltip="https://github.com/rhourani/thesis-owasp-juice-shop/tree/8f016f0f701d767d9a5fa3b225bb7f1759a06429/test/api/deluxeApiSpec.ts#L191" display="https://github.com/rhourani/thesis-owasp-juice-shop/tree/8f016f0f701d767d9a5fa3b225bb7f1759a06429/test/api/deluxeApiSpec.ts - L191" xr:uid="{7A868A01-738E-4D6F-9C9D-592327B59832}"/>
    <hyperlink ref="E164" r:id="rId161" location="L23" tooltip="https://github.com/rhourani/thesis-owasp-juice-shop/tree/8f016f0f701d767d9a5fa3b225bb7f1759a06429/test/api/deliveryApiSpec.ts#L23" display="https://github.com/rhourani/thesis-owasp-juice-shop/tree/8f016f0f701d767d9a5fa3b225bb7f1759a06429/test/api/deliveryApiSpec.ts - L23" xr:uid="{8BA20A72-05D1-496E-B946-2CA2E95571DD}"/>
    <hyperlink ref="E165" r:id="rId162" location="L52" tooltip="https://github.com/rhourani/thesis-owasp-juice-shop/tree/8f016f0f701d767d9a5fa3b225bb7f1759a06429/test/api/deliveryApiSpec.ts#L52" display="https://github.com/rhourani/thesis-owasp-juice-shop/tree/8f016f0f701d767d9a5fa3b225bb7f1759a06429/test/api/deliveryApiSpec.ts - L52" xr:uid="{21DACFE5-8B1C-4DE7-B0F1-F384C329F7CF}"/>
    <hyperlink ref="E166" r:id="rId163" location="L83" tooltip="https://github.com/rhourani/thesis-owasp-juice-shop/tree/8f016f0f701d767d9a5fa3b225bb7f1759a06429/test/api/deliveryApiSpec.ts#L83" display="https://github.com/rhourani/thesis-owasp-juice-shop/tree/8f016f0f701d767d9a5fa3b225bb7f1759a06429/test/api/deliveryApiSpec.ts - L83" xr:uid="{144523DA-1D7E-49CB-99D4-C7A3B77ABEA2}"/>
    <hyperlink ref="E167" r:id="rId164" location="L111" tooltip="https://github.com/rhourani/thesis-owasp-juice-shop/tree/8f016f0f701d767d9a5fa3b225bb7f1759a06429/test/api/deliveryApiSpec.ts#L111" display="https://github.com/rhourani/thesis-owasp-juice-shop/tree/8f016f0f701d767d9a5fa3b225bb7f1759a06429/test/api/deliveryApiSpec.ts - L111" xr:uid="{7DB1401F-7BAD-4EBF-8669-F171428F8A18}"/>
    <hyperlink ref="E168" r:id="rId165" location="L21" tooltip="https://github.com/rhourani/thesis-owasp-juice-shop/tree/8f016f0f701d767d9a5fa3b225bb7f1759a06429/test/api/dataExportApiSpec.ts#L21" display="https://github.com/rhourani/thesis-owasp-juice-shop/tree/8f016f0f701d767d9a5fa3b225bb7f1759a06429/test/api/dataExportApiSpec.ts - L21" xr:uid="{D141F7DA-A2B5-4F57-BF31-DC567AD8DBBB}"/>
    <hyperlink ref="E169" r:id="rId166" location="L48" tooltip="https://github.com/rhourani/thesis-owasp-juice-shop/tree/8f016f0f701d767d9a5fa3b225bb7f1759a06429/test/api/dataExportApiSpec.ts#L48" display="https://github.com/rhourani/thesis-owasp-juice-shop/tree/8f016f0f701d767d9a5fa3b225bb7f1759a06429/test/api/dataExportApiSpec.ts - L48" xr:uid="{8C9E6AC1-7A54-4A32-B5DF-648D01D6A46B}"/>
    <hyperlink ref="E170" r:id="rId167" location="L77" tooltip="https://github.com/rhourani/thesis-owasp-juice-shop/tree/8f016f0f701d767d9a5fa3b225bb7f1759a06429/test/api/dataExportApiSpec.ts#L77" display="https://github.com/rhourani/thesis-owasp-juice-shop/tree/8f016f0f701d767d9a5fa3b225bb7f1759a06429/test/api/dataExportApiSpec.ts - L77" xr:uid="{E343509D-D843-4B78-989E-3AB27BF2E0DD}"/>
    <hyperlink ref="E171" r:id="rId168" location="L112" tooltip="https://github.com/rhourani/thesis-owasp-juice-shop/tree/8f016f0f701d767d9a5fa3b225bb7f1759a06429/test/api/dataExportApiSpec.ts#L112" display="https://github.com/rhourani/thesis-owasp-juice-shop/tree/8f016f0f701d767d9a5fa3b225bb7f1759a06429/test/api/dataExportApiSpec.ts - L112" xr:uid="{B3D28CAA-DC14-460A-99ED-F1428A2DDE8A}"/>
    <hyperlink ref="E172" r:id="rId169" location="L152" tooltip="https://github.com/rhourani/thesis-owasp-juice-shop/tree/8f016f0f701d767d9a5fa3b225bb7f1759a06429/test/api/dataExportApiSpec.ts#L152" display="https://github.com/rhourani/thesis-owasp-juice-shop/tree/8f016f0f701d767d9a5fa3b225bb7f1759a06429/test/api/dataExportApiSpec.ts - L152" xr:uid="{2663D19A-E691-424F-BA34-05163D762479}"/>
    <hyperlink ref="E173" r:id="rId170" location="L194" tooltip="https://github.com/rhourani/thesis-owasp-juice-shop/tree/8f016f0f701d767d9a5fa3b225bb7f1759a06429/test/api/dataExportApiSpec.ts#L194" display="https://github.com/rhourani/thesis-owasp-juice-shop/tree/8f016f0f701d767d9a5fa3b225bb7f1759a06429/test/api/dataExportApiSpec.ts - L194" xr:uid="{89D17DCB-AB7A-4A9D-B5F0-C00EE6BA8D24}"/>
    <hyperlink ref="E174" r:id="rId171" location="L234" tooltip="https://github.com/rhourani/thesis-owasp-juice-shop/tree/8f016f0f701d767d9a5fa3b225bb7f1759a06429/test/api/dataExportApiSpec.ts#L234" display="https://github.com/rhourani/thesis-owasp-juice-shop/tree/8f016f0f701d767d9a5fa3b225bb7f1759a06429/test/api/dataExportApiSpec.ts - L234" xr:uid="{F83A4B9B-85D7-4324-9D58-0F52F09FE622}"/>
    <hyperlink ref="E175" r:id="rId172" location="L282" tooltip="https://github.com/rhourani/thesis-owasp-juice-shop/tree/8f016f0f701d767d9a5fa3b225bb7f1759a06429/test/api/dataExportApiSpec.ts#L282" display="https://github.com/rhourani/thesis-owasp-juice-shop/tree/8f016f0f701d767d9a5fa3b225bb7f1759a06429/test/api/dataExportApiSpec.ts - L282" xr:uid="{9CC356DA-B189-4698-AA03-0DD3D79FC0A4}"/>
    <hyperlink ref="E176" r:id="rId173" location="L332" tooltip="https://github.com/rhourani/thesis-owasp-juice-shop/tree/8f016f0f701d767d9a5fa3b225bb7f1759a06429/test/api/dataExportApiSpec.ts#L332" display="https://github.com/rhourani/thesis-owasp-juice-shop/tree/8f016f0f701d767d9a5fa3b225bb7f1759a06429/test/api/dataExportApiSpec.ts - L332" xr:uid="{64B94A58-950E-4C2B-B7C5-C5C733EAFD6D}"/>
    <hyperlink ref="E177" r:id="rId174" location="L25" tooltip="https://github.com/rhourani/thesis-owasp-juice-shop/tree/8f016f0f701d767d9a5fa3b225bb7f1759a06429/test/api/basketApiSpec.ts#L25" display="https://github.com/rhourani/thesis-owasp-juice-shop/tree/8f016f0f701d767d9a5fa3b225bb7f1759a06429/test/api/basketApiSpec.ts - L25" xr:uid="{DFFE500E-9E01-4046-BE9C-1CC8A312C680}"/>
    <hyperlink ref="E178" r:id="rId175" location="L101" tooltip="https://github.com/rhourani/thesis-owasp-juice-shop/tree/8f016f0f701d767d9a5fa3b225bb7f1759a06429/test/api/basketApiSpec.ts#L101" display="https://github.com/rhourani/thesis-owasp-juice-shop/tree/8f016f0f701d767d9a5fa3b225bb7f1759a06429/test/api/basketApiSpec.ts - L101" xr:uid="{EC1B02B8-2FD0-47E2-88CC-15F2890943BE}"/>
    <hyperlink ref="E179" r:id="rId176" location="L56" tooltip="https://github.com/rhourani/thesis-owasp-juice-shop/tree/8f016f0f701d767d9a5fa3b225bb7f1759a06429/test/api/chatBotSpec.ts#L56" display="https://github.com/rhourani/thesis-owasp-juice-shop/tree/8f016f0f701d767d9a5fa3b225bb7f1759a06429/test/api/chatBotSpec.ts - L56" xr:uid="{A4AD0C24-C9F4-4EEF-BD14-0A6A832F4E53}"/>
    <hyperlink ref="E180" r:id="rId177" location="L18" tooltip="https://github.com/rhourani/thesis-owasp-juice-shop/tree/8f016f0f701d767d9a5fa3b225bb7f1759a06429/test/api/chatBotSpec.ts#L18" display="https://github.com/rhourani/thesis-owasp-juice-shop/tree/8f016f0f701d767d9a5fa3b225bb7f1759a06429/test/api/chatBotSpec.ts - L18" xr:uid="{7A545197-81B1-4D0A-8692-7E965625F417}"/>
    <hyperlink ref="E181" r:id="rId178" location="L108" tooltip="https://github.com/rhourani/thesis-owasp-juice-shop/tree/8f016f0f701d767d9a5fa3b225bb7f1759a06429/test/api/chatBotSpec.ts#L108" display="https://github.com/rhourani/thesis-owasp-juice-shop/tree/8f016f0f701d767d9a5fa3b225bb7f1759a06429/test/api/chatBotSpec.ts - L108" xr:uid="{7A8E513F-2BB3-4F87-8851-88C4315CA5F9}"/>
    <hyperlink ref="E189" r:id="rId179" location="L21" tooltip="https://github.com/rhourani/thesis-owasp-juice-shop/tree/8f016f0f701d767d9a5fa3b225bb7f1759a06429/test/api/authenticatedUsersSpec.ts#L21" display="https://github.com/rhourani/thesis-owasp-juice-shop/tree/8f016f0f701d767d9a5fa3b225bb7f1759a06429/test/api/authenticatedUsersSpec.ts - L21" xr:uid="{E9F67DA2-7FC3-4138-B640-A731B2222BDF}"/>
    <hyperlink ref="E190" r:id="rId180" location="L30" tooltip="https://github.com/rhourani/thesis-owasp-juice-shop/tree/8f016f0f701d767d9a5fa3b225bb7f1759a06429/test/api/authenticatedUsersSpec.ts#L30" display="https://github.com/rhourani/thesis-owasp-juice-shop/tree/8f016f0f701d767d9a5fa3b225bb7f1759a06429/test/api/authenticatedUsersSpec.ts - L30" xr:uid="{092A1D80-169B-45C5-9E01-5E68B7B04FA9}"/>
    <hyperlink ref="E191" r:id="rId181" location="L20" tooltip="https://github.com/rhourani/thesis-owasp-juice-shop/tree/8f016f0f701d767d9a5fa3b225bb7f1759a06429/test/api/2faSpec.ts#L20" display="https://github.com/rhourani/thesis-owasp-juice-shop/tree/8f016f0f701d767d9a5fa3b225bb7f1759a06429/test/api/2faSpec.ts - L20" xr:uid="{AA36EE4D-F6AA-44F6-A75B-29F7DE4F389B}"/>
    <hyperlink ref="E192" r:id="rId182" location="L174" tooltip="https://github.com/rhourani/thesis-owasp-juice-shop/tree/8f016f0f701d767d9a5fa3b225bb7f1759a06429/test/api/2faSpec.ts#L174" display="https://github.com/rhourani/thesis-owasp-juice-shop/tree/8f016f0f701d767d9a5fa3b225bb7f1759a06429/test/api/2faSpec.ts - L174" xr:uid="{FB404B8D-83D6-4913-B90F-55DFCE0B6D11}"/>
    <hyperlink ref="E193" r:id="rId183" location="L200" tooltip="https://github.com/rhourani/thesis-owasp-juice-shop/tree/8f016f0f701d767d9a5fa3b225bb7f1759a06429/test/api/2faSpec.ts#L200" display="https://github.com/rhourani/thesis-owasp-juice-shop/tree/8f016f0f701d767d9a5fa3b225bb7f1759a06429/test/api/2faSpec.ts - L200" xr:uid="{768E9969-B5FF-4603-9D66-0987CCE71A05}"/>
    <hyperlink ref="E194" r:id="rId184" location="L236" tooltip="https://github.com/rhourani/thesis-owasp-juice-shop/tree/8f016f0f701d767d9a5fa3b225bb7f1759a06429/test/api/2faSpec.ts#L236" display="https://github.com/rhourani/thesis-owasp-juice-shop/tree/8f016f0f701d767d9a5fa3b225bb7f1759a06429/test/api/2faSpec.ts - L236" xr:uid="{21861D11-CEBC-4B9C-B8D8-A9F92DE5A926}"/>
    <hyperlink ref="E195" r:id="rId185" location="L282" tooltip="https://github.com/rhourani/thesis-owasp-juice-shop/tree/8f016f0f701d767d9a5fa3b225bb7f1759a06429/test/api/2faSpec.ts#L282" display="https://github.com/rhourani/thesis-owasp-juice-shop/tree/8f016f0f701d767d9a5fa3b225bb7f1759a06429/test/api/2faSpec.ts - L282" xr:uid="{0246C26A-714D-45F8-913D-CA12E194F642}"/>
    <hyperlink ref="E196" r:id="rId186" location="L311" tooltip="https://github.com/rhourani/thesis-owasp-juice-shop/tree/8f016f0f701d767d9a5fa3b225bb7f1759a06429/test/api/2faSpec.ts#L311" display="https://github.com/rhourani/thesis-owasp-juice-shop/tree/8f016f0f701d767d9a5fa3b225bb7f1759a06429/test/api/2faSpec.ts - L311" xr:uid="{7D828648-A09B-4095-97D7-82E27CFAC8D3}"/>
    <hyperlink ref="E197" r:id="rId187" location="L340" tooltip="https://github.com/rhourani/thesis-owasp-juice-shop/tree/8f016f0f701d767d9a5fa3b225bb7f1759a06429/test/api/2faSpec.ts#L340" display="https://github.com/rhourani/thesis-owasp-juice-shop/tree/8f016f0f701d767d9a5fa3b225bb7f1759a06429/test/api/2faSpec.ts - L340" xr:uid="{3A91A6EE-AEA0-4EF5-B454-CE2F94127A32}"/>
    <hyperlink ref="E198" r:id="rId188" location="L369" tooltip="https://github.com/rhourani/thesis-owasp-juice-shop/tree/8f016f0f701d767d9a5fa3b225bb7f1759a06429/test/api/2faSpec.ts#L369" display="https://github.com/rhourani/thesis-owasp-juice-shop/tree/8f016f0f701d767d9a5fa3b225bb7f1759a06429/test/api/2faSpec.ts - L369" xr:uid="{03C73FD9-E030-455D-B6DA-B59C8DC91BEC}"/>
    <hyperlink ref="E199" r:id="rId189" location="L398" tooltip="https://github.com/rhourani/thesis-owasp-juice-shop/tree/8f016f0f701d767d9a5fa3b225bb7f1759a06429/test/api/2faSpec.ts#L398" display="https://github.com/rhourani/thesis-owasp-juice-shop/tree/8f016f0f701d767d9a5fa3b225bb7f1759a06429/test/api/2faSpec.ts - L398" xr:uid="{15382748-F598-4E01-BD25-5E3D9EAC0FAC}"/>
    <hyperlink ref="E200" r:id="rId190" location="L435" tooltip="https://github.com/rhourani/thesis-owasp-juice-shop/tree/8f016f0f701d767d9a5fa3b225bb7f1759a06429/test/api/2faSpec.ts#L435" display="https://github.com/rhourani/thesis-owasp-juice-shop/tree/8f016f0f701d767d9a5fa3b225bb7f1759a06429/test/api/2faSpec.ts - L435" xr:uid="{4D22EFB8-974B-454D-8E0B-75F6142C3B97}"/>
    <hyperlink ref="E182" r:id="rId191" location="L140" tooltip="https://github.com/rhourani/thesis-owasp-juice-shop/tree/8f016f0f701d767d9a5fa3b225bb7f1759a06429/test/api/chatBotSpec.ts#L140" display="https://github.com/rhourani/thesis-owasp-juice-shop/tree/8f016f0f701d767d9a5fa3b225bb7f1759a06429/test/api/chatBotSpec.ts - L140" xr:uid="{2FA07BCD-1909-450E-9A1E-5EC708A7968A}"/>
    <hyperlink ref="E183" r:id="rId192" location="L174" tooltip="https://github.com/rhourani/thesis-owasp-juice-shop/tree/8f016f0f701d767d9a5fa3b225bb7f1759a06429/test/api/chatBotSpec.ts#L174" display="https://github.com/rhourani/thesis-owasp-juice-shop/tree/8f016f0f701d767d9a5fa3b225bb7f1759a06429/test/api/chatBotSpec.ts - L174" xr:uid="{CC6BB05B-5508-4251-A453-0FD7F1BEE22B}"/>
    <hyperlink ref="E184" r:id="rId193" location="L205" tooltip="https://github.com/rhourani/thesis-owasp-juice-shop/tree/8f016f0f701d767d9a5fa3b225bb7f1759a06429/test/api/chatBotSpec.ts#L205" display="https://github.com/rhourani/thesis-owasp-juice-shop/tree/8f016f0f701d767d9a5fa3b225bb7f1759a06429/test/api/chatBotSpec.ts - L205" xr:uid="{CAAD45CD-2EF6-45BD-B946-8208216026FB}"/>
    <hyperlink ref="E185" r:id="rId194" location="L250" tooltip="https://github.com/rhourani/thesis-owasp-juice-shop/tree/8f016f0f701d767d9a5fa3b225bb7f1759a06429/test/api/chatBotSpec.ts#L250" display="https://github.com/rhourani/thesis-owasp-juice-shop/tree/8f016f0f701d767d9a5fa3b225bb7f1759a06429/test/api/chatBotSpec.ts - L250" xr:uid="{229138D9-5DC8-4ECF-A172-4DE395175B7A}"/>
    <hyperlink ref="E186" r:id="rId195" location="L287" tooltip="https://github.com/rhourani/thesis-owasp-juice-shop/tree/8f016f0f701d767d9a5fa3b225bb7f1759a06429/test/api/chatBotSpec.ts#L287" display="https://github.com/rhourani/thesis-owasp-juice-shop/tree/8f016f0f701d767d9a5fa3b225bb7f1759a06429/test/api/chatBotSpec.ts - L287" xr:uid="{7B1D2FF3-88E7-4099-AEA8-004707765A79}"/>
    <hyperlink ref="E187" r:id="rId196" location="L295" tooltip="https://github.com/rhourani/thesis-owasp-juice-shop/tree/8f016f0f701d767d9a5fa3b225bb7f1759a06429/test/api/chatBotSpec.ts#L295" display="https://github.com/rhourani/thesis-owasp-juice-shop/tree/8f016f0f701d767d9a5fa3b225bb7f1759a06429/test/api/chatBotSpec.ts - L295" xr:uid="{F0CAF786-DE46-4886-A93F-3AA412EFA3E1}"/>
    <hyperlink ref="E188" r:id="rId197" location="L77" tooltip="https://github.com/rhourani/thesis-owasp-juice-shop/tree/8f016f0f701d767d9a5fa3b225bb7f1759a06429/test/api/chatBotSpec.ts#L77" display="https://github.com/rhourani/thesis-owasp-juice-shop/tree/8f016f0f701d767d9a5fa3b225bb7f1759a06429/test/api/chatBotSpec.ts - L77" xr:uid="{FAE57F10-1A2C-4309-A43B-3202CBBB38EE}"/>
    <hyperlink ref="E201" r:id="rId198" location="L263" tooltip="https://github.com/rhourani/thesis-owasp-juice-shop/tree/8f016f0f701d767d9a5fa3b225bb7f1759a06429/test/server/verifySpec.ts#L263" display="https://github.com/rhourani/thesis-owasp-juice-shop/tree/8f016f0f701d767d9a5fa3b225bb7f1759a06429/test/server/verifySpec.ts - L263" xr:uid="{ABA03FD9-C2CA-4172-B8FF-E6C719D58C58}"/>
    <hyperlink ref="E202" r:id="rId199" location="L275" tooltip="https://github.com/rhourani/thesis-owasp-juice-shop/tree/8f016f0f701d767d9a5fa3b225bb7f1759a06429/test/server/verifySpec.ts#L275" display="https://github.com/rhourani/thesis-owasp-juice-shop/tree/8f016f0f701d767d9a5fa3b225bb7f1759a06429/test/server/verifySpec.ts - L275" xr:uid="{CF3A0AE9-C09C-4B26-B931-42313F949538}"/>
    <hyperlink ref="E203" r:id="rId200" location="L297" tooltip="https://github.com/rhourani/thesis-owasp-juice-shop/tree/8f016f0f701d767d9a5fa3b225bb7f1759a06429/test/server/verifySpec.ts#L297" display="https://github.com/rhourani/thesis-owasp-juice-shop/tree/8f016f0f701d767d9a5fa3b225bb7f1759a06429/test/server/verifySpec.ts - L297" xr:uid="{A8A4BFCA-1FEB-45D3-BBD9-47E9BB2F367C}"/>
    <hyperlink ref="E204" r:id="rId201" location="L309" tooltip="https://github.com/rhourani/thesis-owasp-juice-shop/tree/8f016f0f701d767d9a5fa3b225bb7f1759a06429/test/server/verifySpec.ts#L309" display="https://github.com/rhourani/thesis-owasp-juice-shop/tree/8f016f0f701d767d9a5fa3b225bb7f1759a06429/test/server/verifySpec.ts - L309" xr:uid="{186C00D5-B5A7-490A-8405-B3AFCCD2AE62}"/>
    <hyperlink ref="E205" r:id="rId202" location="L33" tooltip="https://github.com/rhourani/thesis-owasp-juice-shop/tree/8f016f0f701d767d9a5fa3b225bb7f1759a06429/test/server/currentUserSpec.ts#L33" display="https://github.com/rhourani/thesis-owasp-juice-shop/tree/8f016f0f701d767d9a5fa3b225bb7f1759a06429/test/server/currentUserSpec.ts - L33" xr:uid="{9FD3F108-DAD7-4B76-9FA4-F8E17D215C2F}"/>
    <hyperlink ref="E206" r:id="rId203" location="L36" tooltip="https://github.com/rhourani/thesis-owasp-juice-shop/tree/8f016f0f701d767d9a5fa3b225bb7f1759a06429/test/server/currentUserSpec.ts#L36" display="https://github.com/rhourani/thesis-owasp-juice-shop/tree/8f016f0f701d767d9a5fa3b225bb7f1759a06429/test/server/currentUserSpec.ts - L36" xr:uid="{4E5C2C43-2F93-4163-A784-D7B593E83D41}"/>
    <hyperlink ref="E207" r:id="rId204" location="L7" tooltip="https://github.com/rhourani/thesis-owasp-juice-shop/tree/8f016f0f701d767d9a5fa3b225bb7f1759a06429/test/cypress/e2e/totpSetup.spec.ts#L7" display="https://github.com/rhourani/thesis-owasp-juice-shop/tree/8f016f0f701d767d9a5fa3b225bb7f1759a06429/test/cypress/e2e/totpSetup.spec.ts - L7" xr:uid="{95DC7EDD-D7C5-4E68-AC9C-5B1524F17C7D}"/>
    <hyperlink ref="E208" r:id="rId205" location="L7" tooltip="https://github.com/rhourani/thesis-owasp-juice-shop/tree/8f016f0f701d767d9a5fa3b225bb7f1759a06429/test/cypress/e2e/forgedJwt.spec.ts#L7" display="https://github.com/rhourani/thesis-owasp-juice-shop/tree/8f016f0f701d767d9a5fa3b225bb7f1759a06429/test/cypress/e2e/forgedJwt.spec.ts - L7" xr:uid="{DF6463C7-1FA6-4454-8FB1-515A33B58468}"/>
    <hyperlink ref="E209" r:id="rId206" location="L22" tooltip="https://github.com/rhourani/thesis-owasp-juice-shop/tree/8f016f0f701d767d9a5fa3b225bb7f1759a06429/test/cypress/e2e/forgedJwt.spec.ts#L22" display="https://github.com/rhourani/thesis-owasp-juice-shop/tree/8f016f0f701d767d9a5fa3b225bb7f1759a06429/test/cypress/e2e/forgedJwt.spec.ts - L22" xr:uid="{B84AEBA4-3110-4BD6-9A00-110A18119004}"/>
    <hyperlink ref="E210" r:id="rId207" location="L302" tooltip="https://github.com/rhourani/thesis-owasp-juice-shop/tree/8f016f0f701d767d9a5fa3b225bb7f1759a06429/test/api/userApiSpec.ts#L302" display="https://github.com/rhourani/thesis-owasp-juice-shop/tree/8f016f0f701d767d9a5fa3b225bb7f1759a06429/test/api/userApiSpec.ts - L302" xr:uid="{96AF73E0-A709-4EF5-A2B8-6A654D529A16}"/>
    <hyperlink ref="E211" r:id="rId208" location="L24" tooltip="https://github.com/rhourani/thesis-owasp-juice-shop/tree/8f016f0f701d767d9a5fa3b225bb7f1759a06429/test/api/web3Spec.ts#L24" display="https://github.com/rhourani/thesis-owasp-juice-shop/tree/8f016f0f701d767d9a5fa3b225bb7f1759a06429/test/api/web3Spec.ts - L24" xr:uid="{2895C247-D5A9-4C25-8479-6285BD09B674}"/>
    <hyperlink ref="E212" r:id="rId209" location="L36" tooltip="https://github.com/rhourani/thesis-owasp-juice-shop/tree/8f016f0f701d767d9a5fa3b225bb7f1759a06429/test/api/web3Spec.ts#L36" display="https://github.com/rhourani/thesis-owasp-juice-shop/tree/8f016f0f701d767d9a5fa3b225bb7f1759a06429/test/api/web3Spec.ts - L36" xr:uid="{70196645-63C9-4495-934C-D26C2B8ADABA}"/>
    <hyperlink ref="E213" r:id="rId210" location="L48" tooltip="https://github.com/rhourani/thesis-owasp-juice-shop/tree/8f016f0f701d767d9a5fa3b225bb7f1759a06429/test/api/web3Spec.ts#L48" display="https://github.com/rhourani/thesis-owasp-juice-shop/tree/8f016f0f701d767d9a5fa3b225bb7f1759a06429/test/api/web3Spec.ts - L48" xr:uid="{8463E3DF-D61E-415D-B088-F5928C09B0CA}"/>
    <hyperlink ref="E214" r:id="rId211" location="L60" tooltip="https://github.com/rhourani/thesis-owasp-juice-shop/tree/8f016f0f701d767d9a5fa3b225bb7f1759a06429/test/api/web3Spec.ts#L60" display="https://github.com/rhourani/thesis-owasp-juice-shop/tree/8f016f0f701d767d9a5fa3b225bb7f1759a06429/test/api/web3Spec.ts - L60" xr:uid="{5D24D520-B713-43A0-BB3D-DAB4344D6B9F}"/>
    <hyperlink ref="E215" r:id="rId212" location="L78" tooltip="https://github.com/rhourani/thesis-owasp-juice-shop/tree/8f016f0f701d767d9a5fa3b225bb7f1759a06429/test/api/2faSpec.ts#L78" display="https://github.com/rhourani/thesis-owasp-juice-shop/tree/8f016f0f701d767d9a5fa3b225bb7f1759a06429/test/api/2faSpec.ts - L78" xr:uid="{DD619E88-D7FC-481E-B4F7-4015FF0FB3A2}"/>
    <hyperlink ref="E216" r:id="rId213" location="L175" tooltip="https://github.com/rhourani/thesis-owasp-juice-shop/tree/8f016f0f701d767d9a5fa3b225bb7f1759a06429/test/api/2faSpec.ts#L175" display="https://github.com/rhourani/thesis-owasp-juice-shop/tree/8f016f0f701d767d9a5fa3b225bb7f1759a06429/test/api/2faSpec.ts - L175" xr:uid="{AF0CC31B-AA4F-43DC-9800-578AF43E8B5B}"/>
    <hyperlink ref="E217" r:id="rId214" location="L238" tooltip="https://github.com/rhourani/thesis-owasp-juice-shop/tree/8f016f0f701d767d9a5fa3b225bb7f1759a06429/test/api/2faSpec.ts#L238" display="https://github.com/rhourani/thesis-owasp-juice-shop/tree/8f016f0f701d767d9a5fa3b225bb7f1759a06429/test/api/2faSpec.ts - L238" xr:uid="{845BAE62-81B8-4FA0-88E9-8C39DD052900}"/>
    <hyperlink ref="E218" r:id="rId215" location="L254" tooltip="https://github.com/rhourani/thesis-owasp-juice-shop/tree/8f016f0f701d767d9a5fa3b225bb7f1759a06429/test/api/2faSpec.ts#L254" display="https://github.com/rhourani/thesis-owasp-juice-shop/tree/8f016f0f701d767d9a5fa3b225bb7f1759a06429/test/api/2faSpec.ts - L254" xr:uid="{BDDC7306-DBA8-436B-8E67-8D175EDC43BF}"/>
    <hyperlink ref="E219" r:id="rId216" location="L284" tooltip="https://github.com/rhourani/thesis-owasp-juice-shop/tree/8f016f0f701d767d9a5fa3b225bb7f1759a06429/test/api/2faSpec.ts#L284" display="https://github.com/rhourani/thesis-owasp-juice-shop/tree/8f016f0f701d767d9a5fa3b225bb7f1759a06429/test/api/2faSpec.ts - L284" xr:uid="{9F21DA23-1738-498D-90D1-EB027C726E3A}"/>
    <hyperlink ref="E220" r:id="rId217" location="L300" tooltip="https://github.com/rhourani/thesis-owasp-juice-shop/tree/8f016f0f701d767d9a5fa3b225bb7f1759a06429/test/api/2faSpec.ts#L300" display="https://github.com/rhourani/thesis-owasp-juice-shop/tree/8f016f0f701d767d9a5fa3b225bb7f1759a06429/test/api/2faSpec.ts - L300" xr:uid="{D28AE6EE-BE78-4984-9284-26B5DC61172A}"/>
    <hyperlink ref="E221" r:id="rId218" location="L313" tooltip="https://github.com/rhourani/thesis-owasp-juice-shop/tree/8f016f0f701d767d9a5fa3b225bb7f1759a06429/test/api/2faSpec.ts#L313" display="https://github.com/rhourani/thesis-owasp-juice-shop/tree/8f016f0f701d767d9a5fa3b225bb7f1759a06429/test/api/2faSpec.ts - L313" xr:uid="{B04CA813-4053-40BA-B56A-A2CE1F705C72}"/>
    <hyperlink ref="E222" r:id="rId219" location="L329" tooltip="https://github.com/rhourani/thesis-owasp-juice-shop/tree/8f016f0f701d767d9a5fa3b225bb7f1759a06429/test/api/2faSpec.ts#L329" display="https://github.com/rhourani/thesis-owasp-juice-shop/tree/8f016f0f701d767d9a5fa3b225bb7f1759a06429/test/api/2faSpec.ts - L329" xr:uid="{8D49EA78-DA62-4E2C-90D1-42D5514AEEED}"/>
    <hyperlink ref="E223" r:id="rId220" location="L342" tooltip="https://github.com/rhourani/thesis-owasp-juice-shop/tree/8f016f0f701d767d9a5fa3b225bb7f1759a06429/test/api/2faSpec.ts#L342" display="https://github.com/rhourani/thesis-owasp-juice-shop/tree/8f016f0f701d767d9a5fa3b225bb7f1759a06429/test/api/2faSpec.ts - L342" xr:uid="{3B1AF049-0751-4714-B4CD-0F74C03F6CCD}"/>
    <hyperlink ref="E224" r:id="rId221" location="L370" tooltip="https://github.com/rhourani/thesis-owasp-juice-shop/tree/8f016f0f701d767d9a5fa3b225bb7f1759a06429/test/api/2faSpec.ts#L370" display="https://github.com/rhourani/thesis-owasp-juice-shop/tree/8f016f0f701d767d9a5fa3b225bb7f1759a06429/test/api/2faSpec.ts - L370" xr:uid="{DFC2716E-828C-467B-AE6B-0C8EE1BA8DF9}"/>
    <hyperlink ref="E225" r:id="rId222" location="L372" tooltip="https://github.com/rhourani/thesis-owasp-juice-shop/tree/8f016f0f701d767d9a5fa3b225bb7f1759a06429/test/api/2faSpec.ts#L372" display="https://github.com/rhourani/thesis-owasp-juice-shop/tree/8f016f0f701d767d9a5fa3b225bb7f1759a06429/test/api/2faSpec.ts - L372" xr:uid="{51AEE646-11AD-4C24-BC28-6E804AC3DAF4}"/>
    <hyperlink ref="E226" r:id="rId223" location="L385" tooltip="https://github.com/rhourani/thesis-owasp-juice-shop/tree/8f016f0f701d767d9a5fa3b225bb7f1759a06429/test/api/2faSpec.ts#L385" display="https://github.com/rhourani/thesis-owasp-juice-shop/tree/8f016f0f701d767d9a5fa3b225bb7f1759a06429/test/api/2faSpec.ts - L385" xr:uid="{B8FF4022-5B90-407A-9C52-9238E4152542}"/>
    <hyperlink ref="E227" r:id="rId224" location="L358" tooltip="https://github.com/rhourani/thesis-owasp-juice-shop/tree/8f016f0f701d767d9a5fa3b225bb7f1759a06429/test/api/2faSpec.ts#L358" display="https://github.com/rhourani/thesis-owasp-juice-shop/tree/8f016f0f701d767d9a5fa3b225bb7f1759a06429/test/api/2faSpec.ts - L358" xr:uid="{6755CEDB-A3D0-4244-980B-B7ADC33D03AB}"/>
    <hyperlink ref="E228" r:id="rId225" location="L399" tooltip="https://github.com/rhourani/thesis-owasp-juice-shop/tree/8f016f0f701d767d9a5fa3b225bb7f1759a06429/test/api/2faSpec.ts#L399" display="https://github.com/rhourani/thesis-owasp-juice-shop/tree/8f016f0f701d767d9a5fa3b225bb7f1759a06429/test/api/2faSpec.ts - L399" xr:uid="{54115574-A106-4434-8B15-EC15D8126606}"/>
    <hyperlink ref="E229" r:id="rId226" location="L401" tooltip="https://github.com/rhourani/thesis-owasp-juice-shop/tree/8f016f0f701d767d9a5fa3b225bb7f1759a06429/test/api/2faSpec.ts#L401" display="https://github.com/rhourani/thesis-owasp-juice-shop/tree/8f016f0f701d767d9a5fa3b225bb7f1759a06429/test/api/2faSpec.ts - L401" xr:uid="{7E92E089-5463-419A-B891-369D541712DC}"/>
    <hyperlink ref="E230" r:id="rId227" location="L402" tooltip="https://github.com/rhourani/thesis-owasp-juice-shop/tree/8f016f0f701d767d9a5fa3b225bb7f1759a06429/test/api/2faSpec.ts#L402" display="https://github.com/rhourani/thesis-owasp-juice-shop/tree/8f016f0f701d767d9a5fa3b225bb7f1759a06429/test/api/2faSpec.ts - L402" xr:uid="{8AABDA3A-5ADB-4906-880C-600ED82FCAC5}"/>
    <hyperlink ref="E231" r:id="rId228" location="L436" tooltip="https://github.com/rhourani/thesis-owasp-juice-shop/tree/8f016f0f701d767d9a5fa3b225bb7f1759a06429/test/api/2faSpec.ts#L436" display="https://github.com/rhourani/thesis-owasp-juice-shop/tree/8f016f0f701d767d9a5fa3b225bb7f1759a06429/test/api/2faSpec.ts - L436" xr:uid="{AE9E69F0-BDD3-4008-8520-85B212277B12}"/>
    <hyperlink ref="E232" r:id="rId229" location="L438" tooltip="https://github.com/rhourani/thesis-owasp-juice-shop/tree/8f016f0f701d767d9a5fa3b225bb7f1759a06429/test/api/2faSpec.ts#L438" display="https://github.com/rhourani/thesis-owasp-juice-shop/tree/8f016f0f701d767d9a5fa3b225bb7f1759a06429/test/api/2faSpec.ts - L438" xr:uid="{342A4BA5-9B13-4DC8-A767-A55C8614D636}"/>
    <hyperlink ref="E233" r:id="rId230" location="L439" tooltip="https://github.com/rhourani/thesis-owasp-juice-shop/tree/8f016f0f701d767d9a5fa3b225bb7f1759a06429/test/api/2faSpec.ts#L439" display="https://github.com/rhourani/thesis-owasp-juice-shop/tree/8f016f0f701d767d9a5fa3b225bb7f1759a06429/test/api/2faSpec.ts - L439" xr:uid="{4640AB21-0E6F-4C7D-A261-960723DD1805}"/>
    <hyperlink ref="E234" r:id="rId231" location="L4" tooltip="https://github.com/rhourani/thesis-owasp-juice-shop/tree/8f016f0f701d767d9a5fa3b225bb7f1759a06429/test/cypress/e2e/totpSetup.spec.ts#L4" display="https://github.com/rhourani/thesis-owasp-juice-shop/tree/8f016f0f701d767d9a5fa3b225bb7f1759a06429/test/cypress/e2e/totpSetup.spec.ts - L4" xr:uid="{75FADD41-2BAD-491A-BA5A-9BAAD4038F83}"/>
    <hyperlink ref="E235" r:id="rId232" location="L54" tooltip="https://github.com/rhourani/thesis-owasp-juice-shop/tree/8f016f0f701d767d9a5fa3b225bb7f1759a06429/test/cypress/e2e/search.spec.ts#L54" display="https://github.com/rhourani/thesis-owasp-juice-shop/tree/8f016f0f701d767d9a5fa3b225bb7f1759a06429/test/cypress/e2e/search.spec.ts - L54" xr:uid="{CB7A39F1-594F-4F26-9EF9-23C2852030B1}"/>
    <hyperlink ref="E236" r:id="rId233" location="L81" tooltip="https://github.com/rhourani/thesis-owasp-juice-shop/tree/8f016f0f701d767d9a5fa3b225bb7f1759a06429/test/cypress/e2e/search.spec.ts#L81" display="https://github.com/rhourani/thesis-owasp-juice-shop/tree/8f016f0f701d767d9a5fa3b225bb7f1759a06429/test/cypress/e2e/search.spec.ts - L81" xr:uid="{09CBC344-249B-4B2C-B94E-4882794BE94C}"/>
    <hyperlink ref="E237" r:id="rId234" location="L4" tooltip="https://github.com/rhourani/thesis-owasp-juice-shop/tree/8f016f0f701d767d9a5fa3b225bb7f1759a06429/test/cypress/e2e/restApi.spec.ts#L4" display="https://github.com/rhourani/thesis-owasp-juice-shop/tree/8f016f0f701d767d9a5fa3b225bb7f1759a06429/test/cypress/e2e/restApi.spec.ts - L4" xr:uid="{280C958D-E4E1-4666-81ED-503C795B31EF}"/>
    <hyperlink ref="E238" r:id="rId235" location="L80" tooltip="https://github.com/rhourani/thesis-owasp-juice-shop/tree/8f016f0f701d767d9a5fa3b225bb7f1759a06429/test/cypress/e2e/restApi.spec.ts#L80" display="https://github.com/rhourani/thesis-owasp-juice-shop/tree/8f016f0f701d767d9a5fa3b225bb7f1759a06429/test/cypress/e2e/restApi.spec.ts - L80" xr:uid="{B6FDDE1E-43FA-4EA9-A7EA-F2FC1E781E82}"/>
    <hyperlink ref="E239" r:id="rId236" location="L8" tooltip="https://github.com/rhourani/thesis-owasp-juice-shop/tree/8f016f0f701d767d9a5fa3b225bb7f1759a06429/test/cypress/e2e/register.spec.ts#L8" display="https://github.com/rhourani/thesis-owasp-juice-shop/tree/8f016f0f701d767d9a5fa3b225bb7f1759a06429/test/cypress/e2e/register.spec.ts - L8" xr:uid="{69F9F993-77FD-4F56-9CAB-82D4ECC6BEBF}"/>
    <hyperlink ref="E240" r:id="rId237" location="L3" tooltip="https://github.com/rhourani/thesis-owasp-juice-shop/tree/8f016f0f701d767d9a5fa3b225bb7f1759a06429/test/cypress/e2e/profile.spec.ts#L3" display="https://github.com/rhourani/thesis-owasp-juice-shop/tree/8f016f0f701d767d9a5fa3b225bb7f1759a06429/test/cypress/e2e/profile.spec.ts - L3" xr:uid="{DDE6B2A0-0696-4595-B199-A969F1141606}"/>
    <hyperlink ref="E241" r:id="rId238" location="L8" tooltip="https://github.com/rhourani/thesis-owasp-juice-shop/tree/8f016f0f701d767d9a5fa3b225bb7f1759a06429/test/cypress/e2e/noSql.spec.ts#L8" display="https://github.com/rhourani/thesis-owasp-juice-shop/tree/8f016f0f701d767d9a5fa3b225bb7f1759a06429/test/cypress/e2e/noSql.spec.ts - L8" xr:uid="{47B4D8D2-3141-450D-AF7F-764069D9F5F9}"/>
    <hyperlink ref="E242" r:id="rId239" location="L53" tooltip="https://github.com/rhourani/thesis-owasp-juice-shop/tree/8f016f0f701d767d9a5fa3b225bb7f1759a06429/test/cypress/e2e/noSql.spec.ts#L53" display="https://github.com/rhourani/thesis-owasp-juice-shop/tree/8f016f0f701d767d9a5fa3b225bb7f1759a06429/test/cypress/e2e/noSql.spec.ts - L53" xr:uid="{713FE7B2-D6FA-4FA6-B414-163022849B92}"/>
    <hyperlink ref="E243" r:id="rId240" location="L76" tooltip="https://github.com/rhourani/thesis-owasp-juice-shop/tree/8f016f0f701d767d9a5fa3b225bb7f1759a06429/test/cypress/e2e/noSql.spec.ts#L76" display="https://github.com/rhourani/thesis-owasp-juice-shop/tree/8f016f0f701d767d9a5fa3b225bb7f1759a06429/test/cypress/e2e/noSql.spec.ts - L76" xr:uid="{492FDED4-E6C6-412F-A9AC-8EFBF6EFDCAF}"/>
    <hyperlink ref="E244" r:id="rId241" location="L120" tooltip="https://github.com/rhourani/thesis-owasp-juice-shop/tree/8f016f0f701d767d9a5fa3b225bb7f1759a06429/test/cypress/e2e/noSql.spec.ts#L120" display="https://github.com/rhourani/thesis-owasp-juice-shop/tree/8f016f0f701d767d9a5fa3b225bb7f1759a06429/test/cypress/e2e/noSql.spec.ts - L120" xr:uid="{4A224CC6-72DB-4C65-90BB-3257FB775272}"/>
    <hyperlink ref="E245" r:id="rId242" location="L24" tooltip="https://github.com/rhourani/thesis-owasp-juice-shop/tree/8f016f0f701d767d9a5fa3b225bb7f1759a06429/test/cypress/e2e/dataExport.spec.ts#L24" display="https://github.com/rhourani/thesis-owasp-juice-shop/tree/8f016f0f701d767d9a5fa3b225bb7f1759a06429/test/cypress/e2e/dataExport.spec.ts - L24" xr:uid="{6FC635AC-797F-4CC0-B355-4BC8A9385EC0}"/>
    <hyperlink ref="E246" r:id="rId243" location="L3" tooltip="https://github.com/rhourani/thesis-owasp-juice-shop/tree/8f016f0f701d767d9a5fa3b225bb7f1759a06429/test/cypress/e2e/dataErasure.spec.ts#L3" display="https://github.com/rhourani/thesis-owasp-juice-shop/tree/8f016f0f701d767d9a5fa3b225bb7f1759a06429/test/cypress/e2e/dataErasure.spec.ts - L3" xr:uid="{7BF98653-A206-453C-9B3D-A62672480225}"/>
    <hyperlink ref="E247" r:id="rId244" location="L11" tooltip="https://github.com/rhourani/thesis-owasp-juice-shop/tree/8f016f0f701d767d9a5fa3b225bb7f1759a06429/test/cypress/e2e/contact.spec.ts#L11" display="https://github.com/rhourani/thesis-owasp-juice-shop/tree/8f016f0f701d767d9a5fa3b225bb7f1759a06429/test/cypress/e2e/contact.spec.ts - L11" xr:uid="{39BF1DD1-20E6-48C8-A502-4125FB07B803}"/>
    <hyperlink ref="E248" r:id="rId245" location="L47" tooltip="https://github.com/rhourani/thesis-owasp-juice-shop/tree/8f016f0f701d767d9a5fa3b225bb7f1759a06429/test/cypress/e2e/contact.spec.ts#L47" display="https://github.com/rhourani/thesis-owasp-juice-shop/tree/8f016f0f701d767d9a5fa3b225bb7f1759a06429/test/cypress/e2e/contact.spec.ts - L47" xr:uid="{63DEDBC4-CEFA-40CD-8B57-88913CA3DA57}"/>
    <hyperlink ref="E249" r:id="rId246" location="L3" tooltip="https://github.com/rhourani/thesis-owasp-juice-shop/tree/8f016f0f701d767d9a5fa3b225bb7f1759a06429/test/cypress/e2e/complain.spec.ts#L3" display="https://github.com/rhourani/thesis-owasp-juice-shop/tree/8f016f0f701d767d9a5fa3b225bb7f1759a06429/test/cypress/e2e/complain.spec.ts - L3" xr:uid="{A5D8A037-BA14-426A-8664-199C3228218F}"/>
    <hyperlink ref="E250" r:id="rId247" location="L3" tooltip="https://github.com/rhourani/thesis-owasp-juice-shop/tree/8f016f0f701d767d9a5fa3b225bb7f1759a06429/test/cypress/e2e/chatbot.spec.ts#L3" display="https://github.com/rhourani/thesis-owasp-juice-shop/tree/8f016f0f701d767d9a5fa3b225bb7f1759a06429/test/cypress/e2e/chatbot.spec.ts - L3" xr:uid="{D89F6F80-804A-42BE-ABC7-F999FD88F54E}"/>
    <hyperlink ref="E251" r:id="rId248" location="L4" tooltip="https://github.com/rhourani/thesis-owasp-juice-shop/tree/8f016f0f701d767d9a5fa3b225bb7f1759a06429/test/cypress/e2e/changePassword.spec.ts#L4" display="https://github.com/rhourani/thesis-owasp-juice-shop/tree/8f016f0f701d767d9a5fa3b225bb7f1759a06429/test/cypress/e2e/changePassword.spec.ts - L4" xr:uid="{BB11EE36-58F6-4A98-A97F-6AA0CFBAC7A9}"/>
    <hyperlink ref="E252" r:id="rId249" location="L23" tooltip="https://github.com/rhourani/thesis-owasp-juice-shop/tree/8f016f0f701d767d9a5fa3b225bb7f1759a06429/test/cypress/e2e/changePassword.spec.ts#L23" display="https://github.com/rhourani/thesis-owasp-juice-shop/tree/8f016f0f701d767d9a5fa3b225bb7f1759a06429/test/cypress/e2e/changePassword.spec.ts - L23" xr:uid="{5C3418E6-FE96-415B-AAF0-95B11205663F}"/>
    <hyperlink ref="E253" r:id="rId250" location="L31" tooltip="https://github.com/rhourani/thesis-owasp-juice-shop/tree/8f016f0f701d767d9a5fa3b225bb7f1759a06429/test/cypress/e2e/changePassword.spec.ts#L31" display="https://github.com/rhourani/thesis-owasp-juice-shop/tree/8f016f0f701d767d9a5fa3b225bb7f1759a06429/test/cypress/e2e/changePassword.spec.ts - L31" xr:uid="{AA2930C0-039B-4251-B7F4-72BD6E601463}"/>
    <hyperlink ref="E254" r:id="rId251" location="L4" tooltip="https://github.com/rhourani/thesis-owasp-juice-shop/tree/8f016f0f701d767d9a5fa3b225bb7f1759a06429/test/cypress/e2e/basket.spec.ts#L4" display="https://github.com/rhourani/thesis-owasp-juice-shop/tree/8f016f0f701d767d9a5fa3b225bb7f1759a06429/test/cypress/e2e/basket.spec.ts - L4" xr:uid="{50911AA7-CE21-47D3-A399-97FF91D1ED33}"/>
    <hyperlink ref="E255" r:id="rId252" location="L6" tooltip="https://github.com/rhourani/thesis-owasp-juice-shop/tree/8f016f0f701d767d9a5fa3b225bb7f1759a06429/test/cypress/e2e/b2bOrder.spec.ts#L6" display="https://github.com/rhourani/thesis-owasp-juice-shop/tree/8f016f0f701d767d9a5fa3b225bb7f1759a06429/test/cypress/e2e/b2bOrder.spec.ts - L6" xr:uid="{24A0A2D9-A6F2-4440-B71A-1FA6FDA1E720}"/>
    <hyperlink ref="E256" r:id="rId253" location="L37" tooltip="https://github.com/rhourani/thesis-owasp-juice-shop/tree/8f016f0f701d767d9a5fa3b225bb7f1759a06429/test/cypress/e2e/b2bOrder.spec.ts#L37" display="https://github.com/rhourani/thesis-owasp-juice-shop/tree/8f016f0f701d767d9a5fa3b225bb7f1759a06429/test/cypress/e2e/b2bOrder.spec.ts - L37" xr:uid="{8B167077-4EB6-4B14-91DE-59188DB9AD21}"/>
    <hyperlink ref="E257" r:id="rId254" location="L3" tooltip="https://github.com/rhourani/thesis-owasp-juice-shop/tree/8f016f0f701d767d9a5fa3b225bb7f1759a06429/test/cypress/e2e/administration.spec.ts#L3" display="https://github.com/rhourani/thesis-owasp-juice-shop/tree/8f016f0f701d767d9a5fa3b225bb7f1759a06429/test/cypress/e2e/administration.spec.ts - L3" xr:uid="{2EBFA5C1-9C86-4877-83C2-11E0CC1D684C}"/>
    <hyperlink ref="E258" r:id="rId255" location="L64" tooltip="https://github.com/rhourani/thesis-owasp-juice-shop/tree/8f016f0f701d767d9a5fa3b225bb7f1759a06429/routes/vulnCodeSnippet.ts#L64" display="https://github.com/rhourani/thesis-owasp-juice-shop/tree/8f016f0f701d767d9a5fa3b225bb7f1759a06429/routes/vulnCodeSnippet.ts - L64" xr:uid="{6F496C10-54EA-43B2-852F-F2713A5F2C87}"/>
    <hyperlink ref="E259" r:id="rId256" location="L66" tooltip="https://github.com/rhourani/thesis-owasp-juice-shop/tree/8f016f0f701d767d9a5fa3b225bb7f1759a06429/routes/vulnCodeSnippet.ts#L66" display="https://github.com/rhourani/thesis-owasp-juice-shop/tree/8f016f0f701d767d9a5fa3b225bb7f1759a06429/routes/vulnCodeSnippet.ts - L66" xr:uid="{A0ADA967-0D1D-42F3-B8B9-BA94FC6511AC}"/>
    <hyperlink ref="E260" r:id="rId257" location="L63" tooltip="https://github.com/rhourani/thesis-owasp-juice-shop/tree/8f016f0f701d767d9a5fa3b225bb7f1759a06429/routes/vulnCodeSnippet.ts#L63" display="https://github.com/rhourani/thesis-owasp-juice-shop/tree/8f016f0f701d767d9a5fa3b225bb7f1759a06429/routes/vulnCodeSnippet.ts - L63" xr:uid="{17169472-D904-4773-A602-7DAB15A72FFA}"/>
    <hyperlink ref="E261" r:id="rId258" location="L404" tooltip="https://github.com/rhourani/thesis-owasp-juice-shop/tree/8f016f0f701d767d9a5fa3b225bb7f1759a06429/server.ts#L404" display="https://github.com/rhourani/thesis-owasp-juice-shop/tree/8f016f0f701d767d9a5fa3b225bb7f1759a06429/server.ts - L404" xr:uid="{160DE0F4-6CDF-43D7-9710-429EDC362B59}"/>
    <hyperlink ref="E262" r:id="rId259" location="L404" tooltip="https://github.com/rhourani/thesis-owasp-juice-shop/tree/8f016f0f701d767d9a5fa3b225bb7f1759a06429/server.ts#L404" display="https://github.com/rhourani/thesis-owasp-juice-shop/tree/8f016f0f701d767d9a5fa3b225bb7f1759a06429/server.ts - L404" xr:uid="{291DEB35-DCDD-4785-B892-C920536ABB1E}"/>
    <hyperlink ref="E263" r:id="rId260" location="L405" tooltip="https://github.com/rhourani/thesis-owasp-juice-shop/tree/8f016f0f701d767d9a5fa3b225bb7f1759a06429/server.ts#L405" display="https://github.com/rhourani/thesis-owasp-juice-shop/tree/8f016f0f701d767d9a5fa3b225bb7f1759a06429/server.ts - L405" xr:uid="{531A9C61-13D4-4AB7-A959-D7DB4A92C376}"/>
    <hyperlink ref="E264" r:id="rId261" location="L406" tooltip="https://github.com/rhourani/thesis-owasp-juice-shop/tree/8f016f0f701d767d9a5fa3b225bb7f1759a06429/server.ts#L406" display="https://github.com/rhourani/thesis-owasp-juice-shop/tree/8f016f0f701d767d9a5fa3b225bb7f1759a06429/server.ts - L406" xr:uid="{13E93C0F-FA0E-44A2-A96C-FEEFEA7C51ED}"/>
    <hyperlink ref="E265" r:id="rId262" location="L407" tooltip="https://github.com/rhourani/thesis-owasp-juice-shop/tree/8f016f0f701d767d9a5fa3b225bb7f1759a06429/server.ts#L407" display="https://github.com/rhourani/thesis-owasp-juice-shop/tree/8f016f0f701d767d9a5fa3b225bb7f1759a06429/server.ts - L407" xr:uid="{3BCEE0DF-5D4D-4DC7-B164-541C2B99C7FF}"/>
    <hyperlink ref="E266" r:id="rId263" location="L20" tooltip="https://github.com/rhourani/thesis-owasp-juice-shop/tree/8f016f0f701d767d9a5fa3b225bb7f1759a06429/routes/profileImageUrlUpload.ts#L20" display="https://github.com/rhourani/thesis-owasp-juice-shop/tree/8f016f0f701d767d9a5fa3b225bb7f1759a06429/routes/profileImageUrlUpload.ts - L20" xr:uid="{EA65D607-20A2-4D10-BB5E-FC9CEB6E062F}"/>
    <hyperlink ref="E267" r:id="rId264" location="L28" tooltip="https://github.com/rhourani/thesis-owasp-juice-shop/tree/8f016f0f701d767d9a5fa3b225bb7f1759a06429/routes/profileImageUrlUpload.ts#L28" display="https://github.com/rhourani/thesis-owasp-juice-shop/tree/8f016f0f701d767d9a5fa3b225bb7f1759a06429/routes/profileImageUrlUpload.ts - L28" xr:uid="{3547A360-E7FF-4EF7-88B0-FEE029758A3A}"/>
    <hyperlink ref="E268" r:id="rId265" location="L28" tooltip="https://github.com/rhourani/thesis-owasp-juice-shop/tree/8f016f0f701d767d9a5fa3b225bb7f1759a06429/routes/profileImageUrlUpload.ts#L28" display="https://github.com/rhourani/thesis-owasp-juice-shop/tree/8f016f0f701d767d9a5fa3b225bb7f1759a06429/routes/profileImageUrlUpload.ts - L28" xr:uid="{956B547E-89B1-4884-A161-EBBD3B0F0D26}"/>
    <hyperlink ref="E269" r:id="rId266" location="L154" tooltip="https://github.com/rhourani/thesis-owasp-juice-shop/tree/8f016f0f701d767d9a5fa3b225bb7f1759a06429/test/api/2faSpec.ts#L154" display="https://github.com/rhourani/thesis-owasp-juice-shop/tree/8f016f0f701d767d9a5fa3b225bb7f1759a06429/test/api/2faSpec.ts - L154" xr:uid="{A0D92839-540E-432E-BBF1-E893B9A5ACDF}"/>
    <hyperlink ref="E270" r:id="rId267" location="L69" tooltip="https://github.com/rhourani/thesis-owasp-juice-shop/tree/8f016f0f701d767d9a5fa3b225bb7f1759a06429/test/api/productReviewApiSpec.ts#L69" display="https://github.com/rhourani/thesis-owasp-juice-shop/tree/8f016f0f701d767d9a5fa3b225bb7f1759a06429/test/api/productReviewApiSpec.ts - L69" xr:uid="{23415D83-0A2F-4281-A195-95E80522693D}"/>
    <hyperlink ref="E271" r:id="rId268" location="L38" tooltip="https://github.com/rhourani/thesis-owasp-juice-shop/tree/8f016f0f701d767d9a5fa3b225bb7f1759a06429/test/server/webhookSpec.ts#L38" display="https://github.com/rhourani/thesis-owasp-juice-shop/tree/8f016f0f701d767d9a5fa3b225bb7f1759a06429/test/server/webhookSpec.ts - L38" xr:uid="{7BC55D3F-B2AC-4780-AA46-ABD3D4305493}"/>
    <hyperlink ref="E272" r:id="rId269" location="L77" tooltip="https://github.com/rhourani/thesis-owasp-juice-shop/tree/8f016f0f701d767d9a5fa3b225bb7f1759a06429/Gruntfile.js#L77" display="https://github.com/rhourani/thesis-owasp-juice-shop/tree/8f016f0f701d767d9a5fa3b225bb7f1759a06429/Gruntfile.js - L77" xr:uid="{24CB9221-88AE-4BBD-BC60-3F9620039DE7}"/>
    <hyperlink ref="E273" r:id="rId270" location="L43" tooltip="https://github.com/rhourani/thesis-owasp-juice-shop/tree/8f016f0f701d767d9a5fa3b225bb7f1759a06429/lib/insecurity.ts#L43" display="https://github.com/rhourani/thesis-owasp-juice-shop/tree/8f016f0f701d767d9a5fa3b225bb7f1759a06429/lib/insecurity.ts - L43" xr:uid="{C23FA107-4D0A-41BC-AE47-381FEE882CF4}"/>
  </hyperlinks>
  <pageMargins left="0.7" right="0.7" top="0.75" bottom="0.75" header="0.3" footer="0.3"/>
  <headerFooter>
    <oddHeader>&amp;R&amp;"Aptos"&amp;11&amp;K000000 TUNI Luottamuksellinen - Confidential (3Y)&amp;1#_x000D_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B3FE-0922-44C9-9050-7BB2C989CB9A}">
  <dimension ref="A1:Y331"/>
  <sheetViews>
    <sheetView topLeftCell="A223" workbookViewId="0">
      <selection activeCell="D289" sqref="D289"/>
    </sheetView>
  </sheetViews>
  <sheetFormatPr defaultRowHeight="14.4" x14ac:dyDescent="0.3"/>
  <cols>
    <col min="1" max="1" width="41.88671875" customWidth="1"/>
    <col min="3" max="3" width="49.21875" customWidth="1"/>
    <col min="9" max="9" width="25.109375" customWidth="1"/>
    <col min="10" max="10" width="26.33203125" customWidth="1"/>
    <col min="15" max="15" width="40.33203125" customWidth="1"/>
    <col min="16" max="16" width="8.88671875" style="7"/>
  </cols>
  <sheetData>
    <row r="1" spans="1:25" x14ac:dyDescent="0.3">
      <c r="A1" t="s">
        <v>147</v>
      </c>
      <c r="B1" t="s">
        <v>1</v>
      </c>
      <c r="C1" t="s">
        <v>2</v>
      </c>
      <c r="D1" t="s">
        <v>3</v>
      </c>
      <c r="E1" t="s">
        <v>239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11</v>
      </c>
      <c r="R1" t="s">
        <v>15</v>
      </c>
      <c r="S1" t="s">
        <v>16</v>
      </c>
      <c r="T1" t="s">
        <v>17</v>
      </c>
      <c r="U1" t="s">
        <v>18</v>
      </c>
      <c r="X1" s="4" t="s">
        <v>19</v>
      </c>
      <c r="Y1" s="4" t="s">
        <v>20</v>
      </c>
    </row>
    <row r="2" spans="1:25" ht="100.8" x14ac:dyDescent="0.3">
      <c r="A2" t="s">
        <v>227</v>
      </c>
      <c r="B2" t="s">
        <v>31</v>
      </c>
      <c r="C2" t="s">
        <v>62</v>
      </c>
      <c r="D2">
        <v>38</v>
      </c>
      <c r="E2" s="1" t="s">
        <v>238</v>
      </c>
      <c r="F2" t="s">
        <v>37</v>
      </c>
      <c r="G2" t="s">
        <v>25</v>
      </c>
      <c r="I2" t="s">
        <v>227</v>
      </c>
      <c r="J2" t="s">
        <v>227</v>
      </c>
      <c r="K2">
        <v>798</v>
      </c>
      <c r="L2" t="s">
        <v>36</v>
      </c>
      <c r="N2" t="s">
        <v>28</v>
      </c>
      <c r="O2" t="s">
        <v>242</v>
      </c>
      <c r="Q2" t="s">
        <v>27</v>
      </c>
      <c r="R2" t="s">
        <v>25</v>
      </c>
      <c r="S2" t="s">
        <v>26</v>
      </c>
      <c r="T2" s="3" t="s">
        <v>30</v>
      </c>
      <c r="U2" t="s">
        <v>31</v>
      </c>
      <c r="X2" s="3" t="s">
        <v>30</v>
      </c>
      <c r="Y2" s="3" t="s">
        <v>32</v>
      </c>
    </row>
    <row r="3" spans="1:25" ht="115.2" x14ac:dyDescent="0.3">
      <c r="A3" t="s">
        <v>227</v>
      </c>
      <c r="B3" t="s">
        <v>31</v>
      </c>
      <c r="C3" t="s">
        <v>59</v>
      </c>
      <c r="D3">
        <v>61</v>
      </c>
      <c r="E3" t="s">
        <v>240</v>
      </c>
      <c r="F3" t="s">
        <v>37</v>
      </c>
      <c r="G3" t="s">
        <v>25</v>
      </c>
      <c r="I3" t="s">
        <v>227</v>
      </c>
      <c r="J3" t="s">
        <v>227</v>
      </c>
      <c r="K3">
        <v>798</v>
      </c>
      <c r="L3" t="s">
        <v>36</v>
      </c>
      <c r="N3" t="s">
        <v>28</v>
      </c>
      <c r="O3" t="s">
        <v>242</v>
      </c>
      <c r="Q3" t="s">
        <v>36</v>
      </c>
      <c r="R3" t="s">
        <v>37</v>
      </c>
      <c r="S3" t="s">
        <v>38</v>
      </c>
      <c r="T3" s="3" t="s">
        <v>28</v>
      </c>
      <c r="U3" t="s">
        <v>22</v>
      </c>
      <c r="X3" s="3" t="s">
        <v>28</v>
      </c>
      <c r="Y3" s="3" t="s">
        <v>39</v>
      </c>
    </row>
    <row r="4" spans="1:25" ht="144" x14ac:dyDescent="0.3">
      <c r="A4" t="s">
        <v>227</v>
      </c>
      <c r="B4" t="s">
        <v>31</v>
      </c>
      <c r="C4" t="s">
        <v>23</v>
      </c>
      <c r="D4">
        <v>23</v>
      </c>
      <c r="E4" t="s">
        <v>241</v>
      </c>
      <c r="F4" t="s">
        <v>25</v>
      </c>
      <c r="I4" t="s">
        <v>227</v>
      </c>
      <c r="J4" t="s">
        <v>227</v>
      </c>
      <c r="K4">
        <v>798</v>
      </c>
      <c r="L4" t="s">
        <v>36</v>
      </c>
      <c r="M4" t="s">
        <v>25</v>
      </c>
      <c r="N4" t="s">
        <v>48</v>
      </c>
      <c r="R4" t="s">
        <v>41</v>
      </c>
      <c r="S4" t="s">
        <v>42</v>
      </c>
      <c r="T4" s="3" t="s">
        <v>34</v>
      </c>
      <c r="U4" t="s">
        <v>43</v>
      </c>
      <c r="X4" s="3" t="s">
        <v>34</v>
      </c>
      <c r="Y4" s="3" t="s">
        <v>44</v>
      </c>
    </row>
    <row r="5" spans="1:25" ht="100.8" x14ac:dyDescent="0.3">
      <c r="A5" t="s">
        <v>245</v>
      </c>
      <c r="B5" t="s">
        <v>31</v>
      </c>
      <c r="C5" t="s">
        <v>243</v>
      </c>
      <c r="D5">
        <v>23</v>
      </c>
      <c r="E5" t="s">
        <v>244</v>
      </c>
      <c r="F5" t="s">
        <v>25</v>
      </c>
      <c r="I5" t="s">
        <v>245</v>
      </c>
      <c r="J5" t="s">
        <v>245</v>
      </c>
      <c r="K5">
        <v>20</v>
      </c>
      <c r="L5" t="s">
        <v>36</v>
      </c>
      <c r="N5" t="s">
        <v>48</v>
      </c>
      <c r="S5" t="s">
        <v>33</v>
      </c>
      <c r="T5" s="3" t="s">
        <v>45</v>
      </c>
      <c r="U5" t="s">
        <v>46</v>
      </c>
      <c r="X5" s="3" t="s">
        <v>45</v>
      </c>
      <c r="Y5" s="3" t="s">
        <v>47</v>
      </c>
    </row>
    <row r="6" spans="1:25" ht="187.2" x14ac:dyDescent="0.3">
      <c r="A6" t="s">
        <v>245</v>
      </c>
      <c r="B6" t="s">
        <v>31</v>
      </c>
      <c r="C6" t="s">
        <v>246</v>
      </c>
      <c r="D6">
        <v>23</v>
      </c>
      <c r="E6" t="s">
        <v>247</v>
      </c>
      <c r="F6" t="s">
        <v>25</v>
      </c>
      <c r="I6" t="s">
        <v>245</v>
      </c>
      <c r="J6" t="s">
        <v>245</v>
      </c>
      <c r="K6">
        <v>20</v>
      </c>
      <c r="L6" t="s">
        <v>36</v>
      </c>
      <c r="N6" t="s">
        <v>48</v>
      </c>
      <c r="S6" t="s">
        <v>49</v>
      </c>
      <c r="T6" s="3" t="s">
        <v>48</v>
      </c>
      <c r="X6" s="3" t="s">
        <v>48</v>
      </c>
      <c r="Y6" s="3" t="s">
        <v>50</v>
      </c>
    </row>
    <row r="7" spans="1:25" ht="43.2" x14ac:dyDescent="0.3">
      <c r="A7" t="s">
        <v>245</v>
      </c>
      <c r="B7" t="s">
        <v>31</v>
      </c>
      <c r="C7" t="s">
        <v>248</v>
      </c>
      <c r="D7">
        <v>45</v>
      </c>
      <c r="E7" t="s">
        <v>249</v>
      </c>
      <c r="F7" t="s">
        <v>25</v>
      </c>
      <c r="I7" t="s">
        <v>245</v>
      </c>
      <c r="J7" t="s">
        <v>42</v>
      </c>
      <c r="K7">
        <v>20</v>
      </c>
      <c r="L7" t="s">
        <v>36</v>
      </c>
      <c r="N7" t="s">
        <v>48</v>
      </c>
      <c r="S7" t="s">
        <v>53</v>
      </c>
      <c r="T7" s="3" t="s">
        <v>180</v>
      </c>
    </row>
    <row r="8" spans="1:25" x14ac:dyDescent="0.3">
      <c r="A8" t="s">
        <v>245</v>
      </c>
      <c r="B8" t="s">
        <v>31</v>
      </c>
      <c r="C8" t="s">
        <v>248</v>
      </c>
      <c r="D8">
        <v>83</v>
      </c>
      <c r="E8" t="s">
        <v>250</v>
      </c>
      <c r="F8" t="s">
        <v>25</v>
      </c>
      <c r="I8" t="s">
        <v>245</v>
      </c>
      <c r="J8" t="s">
        <v>245</v>
      </c>
      <c r="K8">
        <v>20</v>
      </c>
      <c r="L8" t="s">
        <v>36</v>
      </c>
      <c r="N8" t="s">
        <v>48</v>
      </c>
      <c r="S8" t="s">
        <v>55</v>
      </c>
    </row>
    <row r="9" spans="1:25" x14ac:dyDescent="0.3">
      <c r="A9" t="s">
        <v>245</v>
      </c>
      <c r="B9" t="s">
        <v>31</v>
      </c>
      <c r="C9" t="s">
        <v>248</v>
      </c>
      <c r="D9">
        <v>116</v>
      </c>
      <c r="E9" t="s">
        <v>251</v>
      </c>
      <c r="F9" t="s">
        <v>25</v>
      </c>
      <c r="I9" t="s">
        <v>245</v>
      </c>
      <c r="J9" t="s">
        <v>245</v>
      </c>
      <c r="K9">
        <v>20</v>
      </c>
      <c r="L9" t="s">
        <v>36</v>
      </c>
      <c r="N9" t="s">
        <v>48</v>
      </c>
      <c r="S9" t="s">
        <v>133</v>
      </c>
    </row>
    <row r="10" spans="1:25" x14ac:dyDescent="0.3">
      <c r="A10" t="s">
        <v>38</v>
      </c>
      <c r="B10" t="s">
        <v>31</v>
      </c>
      <c r="C10" t="s">
        <v>51</v>
      </c>
      <c r="D10">
        <v>25</v>
      </c>
      <c r="E10" t="s">
        <v>252</v>
      </c>
      <c r="F10" t="s">
        <v>25</v>
      </c>
      <c r="I10" t="s">
        <v>38</v>
      </c>
      <c r="J10" t="s">
        <v>38</v>
      </c>
      <c r="K10">
        <v>943</v>
      </c>
      <c r="L10" t="s">
        <v>36</v>
      </c>
      <c r="N10" t="s">
        <v>48</v>
      </c>
      <c r="S10" t="s">
        <v>140</v>
      </c>
    </row>
    <row r="11" spans="1:25" x14ac:dyDescent="0.3">
      <c r="A11" t="s">
        <v>38</v>
      </c>
      <c r="B11" t="s">
        <v>31</v>
      </c>
      <c r="C11" t="s">
        <v>51</v>
      </c>
      <c r="D11">
        <v>35</v>
      </c>
      <c r="E11" t="s">
        <v>253</v>
      </c>
      <c r="F11" t="s">
        <v>25</v>
      </c>
      <c r="I11" t="s">
        <v>38</v>
      </c>
      <c r="J11" t="s">
        <v>38</v>
      </c>
      <c r="K11">
        <v>943</v>
      </c>
      <c r="L11" t="s">
        <v>36</v>
      </c>
      <c r="N11" t="s">
        <v>48</v>
      </c>
      <c r="S11" t="s">
        <v>143</v>
      </c>
    </row>
    <row r="12" spans="1:25" x14ac:dyDescent="0.3">
      <c r="A12" t="s">
        <v>38</v>
      </c>
      <c r="B12" t="s">
        <v>31</v>
      </c>
      <c r="C12" t="s">
        <v>51</v>
      </c>
      <c r="D12">
        <v>43</v>
      </c>
      <c r="E12" t="s">
        <v>254</v>
      </c>
      <c r="F12" t="s">
        <v>25</v>
      </c>
      <c r="I12" t="s">
        <v>38</v>
      </c>
      <c r="J12" t="s">
        <v>38</v>
      </c>
      <c r="K12">
        <v>943</v>
      </c>
      <c r="L12" t="s">
        <v>36</v>
      </c>
      <c r="N12" t="s">
        <v>48</v>
      </c>
      <c r="S12" t="s">
        <v>146</v>
      </c>
    </row>
    <row r="13" spans="1:25" x14ac:dyDescent="0.3">
      <c r="A13" t="s">
        <v>38</v>
      </c>
      <c r="B13" t="s">
        <v>31</v>
      </c>
      <c r="C13" t="s">
        <v>51</v>
      </c>
      <c r="D13">
        <v>50</v>
      </c>
      <c r="E13" t="s">
        <v>255</v>
      </c>
      <c r="F13" t="s">
        <v>25</v>
      </c>
      <c r="I13" t="s">
        <v>38</v>
      </c>
      <c r="J13" t="s">
        <v>38</v>
      </c>
      <c r="K13">
        <v>943</v>
      </c>
      <c r="L13" t="s">
        <v>36</v>
      </c>
      <c r="N13" t="s">
        <v>48</v>
      </c>
      <c r="S13" t="s">
        <v>150</v>
      </c>
    </row>
    <row r="14" spans="1:25" x14ac:dyDescent="0.3">
      <c r="A14" t="s">
        <v>53</v>
      </c>
      <c r="B14" t="s">
        <v>31</v>
      </c>
      <c r="C14" t="s">
        <v>64</v>
      </c>
      <c r="D14">
        <v>34</v>
      </c>
      <c r="E14" t="s">
        <v>256</v>
      </c>
      <c r="F14" t="s">
        <v>25</v>
      </c>
      <c r="I14" t="s">
        <v>53</v>
      </c>
      <c r="J14" t="s">
        <v>53</v>
      </c>
      <c r="K14">
        <v>89</v>
      </c>
      <c r="L14" t="s">
        <v>36</v>
      </c>
      <c r="N14" t="s">
        <v>48</v>
      </c>
      <c r="S14" t="s">
        <v>153</v>
      </c>
    </row>
    <row r="15" spans="1:25" x14ac:dyDescent="0.3">
      <c r="A15" t="s">
        <v>38</v>
      </c>
      <c r="B15" t="s">
        <v>31</v>
      </c>
      <c r="C15" t="s">
        <v>257</v>
      </c>
      <c r="D15">
        <v>154</v>
      </c>
      <c r="E15" t="s">
        <v>258</v>
      </c>
      <c r="F15" t="s">
        <v>25</v>
      </c>
      <c r="I15" t="s">
        <v>38</v>
      </c>
      <c r="J15" t="s">
        <v>38</v>
      </c>
      <c r="K15">
        <v>943</v>
      </c>
      <c r="L15" t="s">
        <v>36</v>
      </c>
      <c r="N15" t="s">
        <v>48</v>
      </c>
      <c r="S15" t="s">
        <v>158</v>
      </c>
    </row>
    <row r="16" spans="1:25" x14ac:dyDescent="0.3">
      <c r="A16" t="s">
        <v>38</v>
      </c>
      <c r="B16" t="s">
        <v>31</v>
      </c>
      <c r="C16" t="s">
        <v>259</v>
      </c>
      <c r="D16">
        <v>36</v>
      </c>
      <c r="E16" t="s">
        <v>260</v>
      </c>
      <c r="F16" t="s">
        <v>25</v>
      </c>
      <c r="I16" t="s">
        <v>38</v>
      </c>
      <c r="J16" t="s">
        <v>38</v>
      </c>
      <c r="K16">
        <v>943</v>
      </c>
      <c r="L16" t="s">
        <v>36</v>
      </c>
      <c r="N16" t="s">
        <v>48</v>
      </c>
      <c r="S16" t="s">
        <v>161</v>
      </c>
    </row>
    <row r="17" spans="1:19" x14ac:dyDescent="0.3">
      <c r="A17" t="s">
        <v>49</v>
      </c>
      <c r="B17" t="s">
        <v>31</v>
      </c>
      <c r="C17" t="s">
        <v>57</v>
      </c>
      <c r="D17">
        <v>24</v>
      </c>
      <c r="E17" t="s">
        <v>261</v>
      </c>
      <c r="F17" t="s">
        <v>25</v>
      </c>
      <c r="I17" t="s">
        <v>49</v>
      </c>
      <c r="J17" t="s">
        <v>49</v>
      </c>
      <c r="K17">
        <v>918</v>
      </c>
      <c r="L17" t="s">
        <v>36</v>
      </c>
      <c r="N17" t="s">
        <v>48</v>
      </c>
      <c r="S17" t="s">
        <v>227</v>
      </c>
    </row>
    <row r="18" spans="1:19" x14ac:dyDescent="0.3">
      <c r="A18" t="s">
        <v>158</v>
      </c>
      <c r="B18" t="s">
        <v>31</v>
      </c>
      <c r="C18" t="s">
        <v>157</v>
      </c>
      <c r="D18">
        <v>19</v>
      </c>
      <c r="E18" t="s">
        <v>262</v>
      </c>
      <c r="F18" t="s">
        <v>25</v>
      </c>
      <c r="I18" t="s">
        <v>263</v>
      </c>
      <c r="J18" t="s">
        <v>263</v>
      </c>
      <c r="K18">
        <v>601</v>
      </c>
      <c r="L18" t="s">
        <v>36</v>
      </c>
      <c r="N18" t="s">
        <v>48</v>
      </c>
      <c r="S18" t="s">
        <v>229</v>
      </c>
    </row>
    <row r="19" spans="1:19" x14ac:dyDescent="0.3">
      <c r="A19" t="s">
        <v>53</v>
      </c>
      <c r="B19" t="s">
        <v>31</v>
      </c>
      <c r="C19" t="s">
        <v>66</v>
      </c>
      <c r="D19">
        <v>23</v>
      </c>
      <c r="E19" t="s">
        <v>264</v>
      </c>
      <c r="F19" t="s">
        <v>25</v>
      </c>
      <c r="I19" t="s">
        <v>53</v>
      </c>
      <c r="J19" t="s">
        <v>53</v>
      </c>
      <c r="K19">
        <v>89</v>
      </c>
      <c r="L19" t="s">
        <v>36</v>
      </c>
      <c r="N19" t="s">
        <v>48</v>
      </c>
      <c r="S19" t="s">
        <v>232</v>
      </c>
    </row>
    <row r="20" spans="1:19" x14ac:dyDescent="0.3">
      <c r="A20" t="s">
        <v>245</v>
      </c>
      <c r="B20" t="s">
        <v>31</v>
      </c>
      <c r="C20" t="s">
        <v>265</v>
      </c>
      <c r="D20">
        <v>36</v>
      </c>
      <c r="E20" t="s">
        <v>266</v>
      </c>
      <c r="F20" t="s">
        <v>25</v>
      </c>
      <c r="I20" t="s">
        <v>245</v>
      </c>
      <c r="J20" t="s">
        <v>53</v>
      </c>
      <c r="K20">
        <v>89</v>
      </c>
      <c r="L20" t="s">
        <v>36</v>
      </c>
      <c r="N20" t="s">
        <v>48</v>
      </c>
      <c r="S20" t="s">
        <v>235</v>
      </c>
    </row>
    <row r="21" spans="1:19" x14ac:dyDescent="0.3">
      <c r="A21" t="s">
        <v>245</v>
      </c>
      <c r="B21" t="s">
        <v>31</v>
      </c>
      <c r="C21" t="s">
        <v>267</v>
      </c>
      <c r="D21">
        <v>18</v>
      </c>
      <c r="E21" t="s">
        <v>268</v>
      </c>
      <c r="F21" t="s">
        <v>25</v>
      </c>
      <c r="I21" t="s">
        <v>245</v>
      </c>
      <c r="J21" t="s">
        <v>53</v>
      </c>
      <c r="K21">
        <v>20</v>
      </c>
      <c r="L21" t="s">
        <v>36</v>
      </c>
      <c r="N21" t="s">
        <v>48</v>
      </c>
      <c r="S21" t="s">
        <v>245</v>
      </c>
    </row>
    <row r="22" spans="1:19" x14ac:dyDescent="0.3">
      <c r="A22" t="s">
        <v>38</v>
      </c>
      <c r="B22" t="s">
        <v>31</v>
      </c>
      <c r="C22" t="s">
        <v>78</v>
      </c>
      <c r="D22">
        <v>17</v>
      </c>
      <c r="E22" t="s">
        <v>269</v>
      </c>
      <c r="F22" t="s">
        <v>25</v>
      </c>
      <c r="I22" t="s">
        <v>53</v>
      </c>
      <c r="J22" t="s">
        <v>38</v>
      </c>
      <c r="K22">
        <v>943</v>
      </c>
      <c r="L22" t="s">
        <v>36</v>
      </c>
      <c r="N22" t="s">
        <v>48</v>
      </c>
      <c r="S22" t="s">
        <v>275</v>
      </c>
    </row>
    <row r="23" spans="1:19" x14ac:dyDescent="0.3">
      <c r="A23" t="s">
        <v>245</v>
      </c>
      <c r="B23" t="s">
        <v>31</v>
      </c>
      <c r="C23" t="s">
        <v>270</v>
      </c>
      <c r="D23">
        <v>81</v>
      </c>
      <c r="E23" t="s">
        <v>271</v>
      </c>
      <c r="F23" t="s">
        <v>25</v>
      </c>
      <c r="I23" t="s">
        <v>245</v>
      </c>
      <c r="J23" t="s">
        <v>42</v>
      </c>
      <c r="K23">
        <v>20</v>
      </c>
      <c r="L23" t="s">
        <v>36</v>
      </c>
      <c r="N23" t="s">
        <v>48</v>
      </c>
      <c r="S23" t="s">
        <v>284</v>
      </c>
    </row>
    <row r="24" spans="1:19" x14ac:dyDescent="0.3">
      <c r="A24" t="s">
        <v>245</v>
      </c>
      <c r="B24" t="s">
        <v>31</v>
      </c>
      <c r="C24" t="s">
        <v>272</v>
      </c>
      <c r="D24">
        <v>90</v>
      </c>
      <c r="E24" t="s">
        <v>273</v>
      </c>
      <c r="F24" t="s">
        <v>25</v>
      </c>
      <c r="I24" t="s">
        <v>245</v>
      </c>
      <c r="J24" t="s">
        <v>42</v>
      </c>
      <c r="K24">
        <v>20</v>
      </c>
      <c r="L24" t="s">
        <v>36</v>
      </c>
      <c r="N24" t="s">
        <v>48</v>
      </c>
      <c r="S24" t="s">
        <v>287</v>
      </c>
    </row>
    <row r="25" spans="1:19" x14ac:dyDescent="0.3">
      <c r="L25" t="s">
        <v>36</v>
      </c>
      <c r="S25" t="s">
        <v>288</v>
      </c>
    </row>
    <row r="26" spans="1:19" ht="38.25" customHeight="1" x14ac:dyDescent="0.3">
      <c r="A26" s="61" t="s">
        <v>392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S26" t="s">
        <v>312</v>
      </c>
    </row>
    <row r="27" spans="1:19" ht="30" customHeight="1" x14ac:dyDescent="0.3">
      <c r="A27" t="s">
        <v>55</v>
      </c>
      <c r="B27" t="s">
        <v>22</v>
      </c>
      <c r="C27" t="s">
        <v>274</v>
      </c>
      <c r="D27">
        <v>86</v>
      </c>
      <c r="E27" t="s">
        <v>391</v>
      </c>
      <c r="F27" t="s">
        <v>25</v>
      </c>
      <c r="I27" t="s">
        <v>55</v>
      </c>
      <c r="J27" t="s">
        <v>55</v>
      </c>
      <c r="K27">
        <v>79</v>
      </c>
      <c r="L27" t="s">
        <v>36</v>
      </c>
      <c r="N27" t="s">
        <v>48</v>
      </c>
      <c r="S27" t="s">
        <v>310</v>
      </c>
    </row>
    <row r="28" spans="1:19" x14ac:dyDescent="0.3">
      <c r="A28" t="s">
        <v>55</v>
      </c>
      <c r="B28" t="s">
        <v>22</v>
      </c>
      <c r="C28" t="s">
        <v>88</v>
      </c>
      <c r="D28">
        <v>135</v>
      </c>
      <c r="E28" t="s">
        <v>391</v>
      </c>
      <c r="F28" t="s">
        <v>25</v>
      </c>
      <c r="I28" t="s">
        <v>55</v>
      </c>
      <c r="J28" t="s">
        <v>55</v>
      </c>
      <c r="K28">
        <v>79</v>
      </c>
      <c r="L28" t="s">
        <v>36</v>
      </c>
      <c r="N28" t="s">
        <v>48</v>
      </c>
      <c r="S28" t="s">
        <v>311</v>
      </c>
    </row>
    <row r="29" spans="1:19" x14ac:dyDescent="0.3">
      <c r="A29" t="s">
        <v>275</v>
      </c>
      <c r="B29" t="s">
        <v>43</v>
      </c>
      <c r="C29" t="s">
        <v>149</v>
      </c>
      <c r="D29">
        <v>682</v>
      </c>
      <c r="E29" t="s">
        <v>391</v>
      </c>
      <c r="F29" t="s">
        <v>25</v>
      </c>
      <c r="I29" t="s">
        <v>245</v>
      </c>
      <c r="J29" t="s">
        <v>245</v>
      </c>
      <c r="K29">
        <v>20</v>
      </c>
      <c r="L29" t="s">
        <v>36</v>
      </c>
      <c r="N29" t="s">
        <v>48</v>
      </c>
      <c r="S29" t="s">
        <v>313</v>
      </c>
    </row>
    <row r="30" spans="1:19" x14ac:dyDescent="0.3">
      <c r="A30" t="s">
        <v>275</v>
      </c>
      <c r="B30" t="s">
        <v>43</v>
      </c>
      <c r="C30" t="s">
        <v>276</v>
      </c>
      <c r="D30">
        <v>94</v>
      </c>
      <c r="E30" t="s">
        <v>391</v>
      </c>
      <c r="F30" t="s">
        <v>37</v>
      </c>
      <c r="G30" t="s">
        <v>25</v>
      </c>
      <c r="I30" t="s">
        <v>245</v>
      </c>
      <c r="J30" t="s">
        <v>245</v>
      </c>
      <c r="K30">
        <v>20</v>
      </c>
      <c r="L30" t="s">
        <v>36</v>
      </c>
      <c r="N30" t="s">
        <v>28</v>
      </c>
      <c r="O30" t="s">
        <v>279</v>
      </c>
      <c r="S30" t="s">
        <v>316</v>
      </c>
    </row>
    <row r="31" spans="1:19" x14ac:dyDescent="0.3">
      <c r="A31" t="s">
        <v>275</v>
      </c>
      <c r="B31" t="s">
        <v>43</v>
      </c>
      <c r="C31" t="s">
        <v>277</v>
      </c>
      <c r="D31">
        <v>66</v>
      </c>
      <c r="E31" t="s">
        <v>391</v>
      </c>
      <c r="F31" t="s">
        <v>37</v>
      </c>
      <c r="G31" t="s">
        <v>25</v>
      </c>
      <c r="I31" t="s">
        <v>235</v>
      </c>
      <c r="J31" t="s">
        <v>245</v>
      </c>
      <c r="K31">
        <v>20</v>
      </c>
      <c r="L31" t="s">
        <v>36</v>
      </c>
      <c r="N31" t="s">
        <v>28</v>
      </c>
      <c r="O31" t="s">
        <v>279</v>
      </c>
      <c r="S31" t="s">
        <v>317</v>
      </c>
    </row>
    <row r="32" spans="1:19" x14ac:dyDescent="0.3">
      <c r="A32" t="s">
        <v>275</v>
      </c>
      <c r="B32" t="s">
        <v>43</v>
      </c>
      <c r="C32" t="s">
        <v>277</v>
      </c>
      <c r="D32">
        <v>67</v>
      </c>
      <c r="E32" t="s">
        <v>391</v>
      </c>
      <c r="F32" t="s">
        <v>37</v>
      </c>
      <c r="G32" t="s">
        <v>25</v>
      </c>
      <c r="I32" t="s">
        <v>245</v>
      </c>
      <c r="J32" t="s">
        <v>245</v>
      </c>
      <c r="K32">
        <v>20</v>
      </c>
      <c r="L32" t="s">
        <v>36</v>
      </c>
      <c r="N32" t="s">
        <v>28</v>
      </c>
      <c r="O32" t="s">
        <v>279</v>
      </c>
    </row>
    <row r="33" spans="1:15" x14ac:dyDescent="0.3">
      <c r="A33" t="s">
        <v>275</v>
      </c>
      <c r="B33" t="s">
        <v>43</v>
      </c>
      <c r="C33" t="s">
        <v>280</v>
      </c>
      <c r="D33">
        <v>232</v>
      </c>
      <c r="E33" t="s">
        <v>391</v>
      </c>
      <c r="F33" t="s">
        <v>37</v>
      </c>
      <c r="G33" t="s">
        <v>25</v>
      </c>
      <c r="I33" t="s">
        <v>245</v>
      </c>
      <c r="J33" t="s">
        <v>245</v>
      </c>
      <c r="K33">
        <v>20</v>
      </c>
      <c r="L33" t="s">
        <v>36</v>
      </c>
      <c r="N33" t="s">
        <v>28</v>
      </c>
      <c r="O33" t="s">
        <v>279</v>
      </c>
    </row>
    <row r="34" spans="1:15" x14ac:dyDescent="0.3">
      <c r="A34" t="s">
        <v>275</v>
      </c>
      <c r="B34" t="s">
        <v>43</v>
      </c>
      <c r="C34" t="s">
        <v>57</v>
      </c>
      <c r="D34">
        <v>20</v>
      </c>
      <c r="E34" t="s">
        <v>391</v>
      </c>
      <c r="F34" t="s">
        <v>37</v>
      </c>
      <c r="G34" t="s">
        <v>25</v>
      </c>
      <c r="I34" t="s">
        <v>245</v>
      </c>
      <c r="J34" t="s">
        <v>245</v>
      </c>
      <c r="K34">
        <v>20</v>
      </c>
      <c r="L34" t="s">
        <v>36</v>
      </c>
      <c r="N34" t="s">
        <v>28</v>
      </c>
      <c r="O34" t="s">
        <v>279</v>
      </c>
    </row>
    <row r="35" spans="1:15" x14ac:dyDescent="0.3">
      <c r="A35" t="s">
        <v>275</v>
      </c>
      <c r="B35" t="s">
        <v>43</v>
      </c>
      <c r="C35" t="s">
        <v>149</v>
      </c>
      <c r="D35">
        <v>246</v>
      </c>
      <c r="E35" t="s">
        <v>391</v>
      </c>
      <c r="F35" t="s">
        <v>37</v>
      </c>
      <c r="G35" t="s">
        <v>25</v>
      </c>
      <c r="I35" t="s">
        <v>245</v>
      </c>
      <c r="J35" t="s">
        <v>245</v>
      </c>
      <c r="K35">
        <v>20</v>
      </c>
      <c r="L35" t="s">
        <v>36</v>
      </c>
      <c r="N35" t="s">
        <v>28</v>
      </c>
      <c r="O35" t="s">
        <v>279</v>
      </c>
    </row>
    <row r="36" spans="1:15" x14ac:dyDescent="0.3">
      <c r="A36" t="s">
        <v>275</v>
      </c>
      <c r="B36" t="s">
        <v>43</v>
      </c>
      <c r="C36" t="s">
        <v>281</v>
      </c>
      <c r="D36">
        <v>18</v>
      </c>
      <c r="E36" t="s">
        <v>391</v>
      </c>
      <c r="F36" t="s">
        <v>37</v>
      </c>
      <c r="G36" t="s">
        <v>25</v>
      </c>
      <c r="I36" t="s">
        <v>245</v>
      </c>
      <c r="J36" t="s">
        <v>245</v>
      </c>
      <c r="K36">
        <v>20</v>
      </c>
      <c r="L36" t="s">
        <v>36</v>
      </c>
      <c r="N36" t="s">
        <v>28</v>
      </c>
      <c r="O36" t="s">
        <v>279</v>
      </c>
    </row>
    <row r="37" spans="1:15" x14ac:dyDescent="0.3">
      <c r="A37" t="s">
        <v>275</v>
      </c>
      <c r="B37" t="s">
        <v>43</v>
      </c>
      <c r="C37" t="s">
        <v>282</v>
      </c>
      <c r="D37">
        <v>36</v>
      </c>
      <c r="E37" t="s">
        <v>391</v>
      </c>
      <c r="F37" t="s">
        <v>37</v>
      </c>
      <c r="G37" t="s">
        <v>25</v>
      </c>
      <c r="I37" t="s">
        <v>245</v>
      </c>
      <c r="J37" t="s">
        <v>245</v>
      </c>
      <c r="K37">
        <v>20</v>
      </c>
      <c r="L37" t="s">
        <v>36</v>
      </c>
      <c r="N37" t="s">
        <v>28</v>
      </c>
      <c r="O37" t="s">
        <v>279</v>
      </c>
    </row>
    <row r="38" spans="1:15" x14ac:dyDescent="0.3">
      <c r="A38" t="s">
        <v>275</v>
      </c>
      <c r="B38" t="s">
        <v>43</v>
      </c>
      <c r="C38" t="s">
        <v>278</v>
      </c>
      <c r="D38">
        <v>47</v>
      </c>
      <c r="E38" t="s">
        <v>391</v>
      </c>
      <c r="F38" t="s">
        <v>37</v>
      </c>
      <c r="G38" t="s">
        <v>25</v>
      </c>
      <c r="I38" t="s">
        <v>245</v>
      </c>
      <c r="J38" t="s">
        <v>245</v>
      </c>
      <c r="K38">
        <v>20</v>
      </c>
      <c r="L38" t="s">
        <v>36</v>
      </c>
      <c r="N38" t="s">
        <v>30</v>
      </c>
      <c r="O38" t="s">
        <v>279</v>
      </c>
    </row>
    <row r="39" spans="1:15" x14ac:dyDescent="0.3">
      <c r="A39" t="s">
        <v>284</v>
      </c>
      <c r="B39" t="s">
        <v>43</v>
      </c>
      <c r="C39" t="s">
        <v>283</v>
      </c>
      <c r="D39">
        <v>2</v>
      </c>
      <c r="E39" t="s">
        <v>391</v>
      </c>
      <c r="F39" t="s">
        <v>25</v>
      </c>
      <c r="I39" t="s">
        <v>284</v>
      </c>
      <c r="J39" t="s">
        <v>284</v>
      </c>
      <c r="K39">
        <v>723</v>
      </c>
      <c r="L39" t="s">
        <v>36</v>
      </c>
      <c r="N39" t="s">
        <v>48</v>
      </c>
    </row>
    <row r="40" spans="1:15" x14ac:dyDescent="0.3">
      <c r="A40" t="s">
        <v>284</v>
      </c>
      <c r="B40" t="s">
        <v>43</v>
      </c>
      <c r="C40" t="s">
        <v>285</v>
      </c>
      <c r="D40">
        <v>1</v>
      </c>
      <c r="E40" t="s">
        <v>391</v>
      </c>
      <c r="F40" t="s">
        <v>25</v>
      </c>
      <c r="I40" t="s">
        <v>284</v>
      </c>
      <c r="J40" t="s">
        <v>284</v>
      </c>
      <c r="K40">
        <v>723</v>
      </c>
      <c r="L40" t="s">
        <v>36</v>
      </c>
      <c r="N40" t="s">
        <v>48</v>
      </c>
    </row>
    <row r="41" spans="1:15" x14ac:dyDescent="0.3">
      <c r="A41" t="s">
        <v>287</v>
      </c>
      <c r="B41" t="s">
        <v>43</v>
      </c>
      <c r="C41" t="s">
        <v>286</v>
      </c>
      <c r="D41">
        <v>23</v>
      </c>
      <c r="E41" t="s">
        <v>391</v>
      </c>
      <c r="F41" t="s">
        <v>25</v>
      </c>
      <c r="I41" t="s">
        <v>287</v>
      </c>
      <c r="J41" t="s">
        <v>287</v>
      </c>
      <c r="K41">
        <v>77</v>
      </c>
      <c r="L41" t="s">
        <v>36</v>
      </c>
      <c r="N41" t="s">
        <v>48</v>
      </c>
    </row>
    <row r="42" spans="1:15" x14ac:dyDescent="0.3">
      <c r="A42" t="s">
        <v>287</v>
      </c>
      <c r="B42" t="s">
        <v>43</v>
      </c>
      <c r="C42" t="s">
        <v>84</v>
      </c>
      <c r="D42">
        <v>62</v>
      </c>
      <c r="E42" t="s">
        <v>391</v>
      </c>
      <c r="F42" t="s">
        <v>25</v>
      </c>
      <c r="I42" t="s">
        <v>287</v>
      </c>
      <c r="J42" t="s">
        <v>287</v>
      </c>
      <c r="K42">
        <v>77</v>
      </c>
      <c r="L42" t="s">
        <v>36</v>
      </c>
      <c r="N42" t="s">
        <v>48</v>
      </c>
    </row>
    <row r="43" spans="1:15" x14ac:dyDescent="0.3">
      <c r="A43" t="s">
        <v>287</v>
      </c>
      <c r="B43" t="s">
        <v>43</v>
      </c>
      <c r="C43" t="s">
        <v>286</v>
      </c>
      <c r="D43">
        <v>258</v>
      </c>
      <c r="E43" t="s">
        <v>391</v>
      </c>
      <c r="F43" t="s">
        <v>25</v>
      </c>
      <c r="I43" t="s">
        <v>287</v>
      </c>
      <c r="J43" t="s">
        <v>287</v>
      </c>
      <c r="K43">
        <v>77</v>
      </c>
      <c r="L43" t="s">
        <v>36</v>
      </c>
      <c r="N43" t="s">
        <v>48</v>
      </c>
    </row>
    <row r="44" spans="1:15" x14ac:dyDescent="0.3">
      <c r="A44" t="s">
        <v>288</v>
      </c>
      <c r="B44" t="s">
        <v>43</v>
      </c>
      <c r="C44" t="s">
        <v>289</v>
      </c>
      <c r="D44">
        <v>247</v>
      </c>
      <c r="E44" t="s">
        <v>391</v>
      </c>
      <c r="F44" t="s">
        <v>37</v>
      </c>
      <c r="G44" t="s">
        <v>25</v>
      </c>
      <c r="I44" t="s">
        <v>288</v>
      </c>
      <c r="J44" t="s">
        <v>288</v>
      </c>
      <c r="K44">
        <v>338</v>
      </c>
      <c r="L44" t="s">
        <v>36</v>
      </c>
      <c r="N44" t="s">
        <v>28</v>
      </c>
      <c r="O44" t="s">
        <v>291</v>
      </c>
    </row>
    <row r="45" spans="1:15" x14ac:dyDescent="0.3">
      <c r="A45" t="s">
        <v>288</v>
      </c>
      <c r="B45" t="s">
        <v>43</v>
      </c>
      <c r="C45" t="s">
        <v>289</v>
      </c>
      <c r="D45">
        <v>265</v>
      </c>
      <c r="E45" t="s">
        <v>391</v>
      </c>
      <c r="F45" t="s">
        <v>37</v>
      </c>
      <c r="G45" t="s">
        <v>25</v>
      </c>
      <c r="I45" t="s">
        <v>288</v>
      </c>
      <c r="J45" t="s">
        <v>288</v>
      </c>
      <c r="K45">
        <v>338</v>
      </c>
      <c r="L45" t="s">
        <v>36</v>
      </c>
      <c r="N45" t="s">
        <v>28</v>
      </c>
      <c r="O45" t="s">
        <v>291</v>
      </c>
    </row>
    <row r="46" spans="1:15" x14ac:dyDescent="0.3">
      <c r="A46" t="s">
        <v>288</v>
      </c>
      <c r="B46" t="s">
        <v>43</v>
      </c>
      <c r="C46" t="s">
        <v>289</v>
      </c>
      <c r="D46">
        <v>323</v>
      </c>
      <c r="E46" t="s">
        <v>391</v>
      </c>
      <c r="F46" t="s">
        <v>37</v>
      </c>
      <c r="G46" t="s">
        <v>25</v>
      </c>
      <c r="I46" t="s">
        <v>288</v>
      </c>
      <c r="J46" t="s">
        <v>288</v>
      </c>
      <c r="K46">
        <v>338</v>
      </c>
      <c r="L46" t="s">
        <v>36</v>
      </c>
      <c r="N46" t="s">
        <v>28</v>
      </c>
      <c r="O46" t="s">
        <v>291</v>
      </c>
    </row>
    <row r="47" spans="1:15" x14ac:dyDescent="0.3">
      <c r="A47" t="s">
        <v>288</v>
      </c>
      <c r="B47" t="s">
        <v>43</v>
      </c>
      <c r="C47" t="s">
        <v>289</v>
      </c>
      <c r="D47">
        <v>698</v>
      </c>
      <c r="E47" t="s">
        <v>391</v>
      </c>
      <c r="F47" t="s">
        <v>37</v>
      </c>
      <c r="G47" t="s">
        <v>25</v>
      </c>
      <c r="I47" t="s">
        <v>288</v>
      </c>
      <c r="J47" t="s">
        <v>288</v>
      </c>
      <c r="K47">
        <v>338</v>
      </c>
      <c r="L47" t="s">
        <v>36</v>
      </c>
      <c r="N47" t="s">
        <v>28</v>
      </c>
      <c r="O47" t="s">
        <v>291</v>
      </c>
    </row>
    <row r="48" spans="1:15" x14ac:dyDescent="0.3">
      <c r="A48" t="s">
        <v>288</v>
      </c>
      <c r="B48" t="s">
        <v>43</v>
      </c>
      <c r="C48" t="s">
        <v>290</v>
      </c>
      <c r="D48">
        <v>167</v>
      </c>
      <c r="E48" t="s">
        <v>391</v>
      </c>
      <c r="F48" t="s">
        <v>37</v>
      </c>
      <c r="G48" t="s">
        <v>25</v>
      </c>
      <c r="I48" t="s">
        <v>288</v>
      </c>
      <c r="J48" t="s">
        <v>288</v>
      </c>
      <c r="K48">
        <v>338</v>
      </c>
      <c r="L48" t="s">
        <v>36</v>
      </c>
      <c r="N48" t="s">
        <v>28</v>
      </c>
      <c r="O48" t="s">
        <v>291</v>
      </c>
    </row>
    <row r="49" spans="1:15" x14ac:dyDescent="0.3">
      <c r="A49" t="s">
        <v>288</v>
      </c>
      <c r="B49" t="s">
        <v>43</v>
      </c>
      <c r="C49" t="s">
        <v>23</v>
      </c>
      <c r="D49">
        <v>55</v>
      </c>
      <c r="E49" t="s">
        <v>391</v>
      </c>
      <c r="F49" t="s">
        <v>37</v>
      </c>
      <c r="G49" t="s">
        <v>25</v>
      </c>
      <c r="I49" t="s">
        <v>288</v>
      </c>
      <c r="J49" t="s">
        <v>288</v>
      </c>
      <c r="K49">
        <v>338</v>
      </c>
      <c r="L49" t="s">
        <v>36</v>
      </c>
      <c r="N49" t="s">
        <v>28</v>
      </c>
      <c r="O49" t="s">
        <v>292</v>
      </c>
    </row>
    <row r="50" spans="1:15" x14ac:dyDescent="0.3">
      <c r="A50" t="s">
        <v>288</v>
      </c>
      <c r="B50" t="s">
        <v>43</v>
      </c>
      <c r="C50" t="s">
        <v>286</v>
      </c>
      <c r="D50">
        <v>15</v>
      </c>
      <c r="E50" t="s">
        <v>391</v>
      </c>
      <c r="F50" t="s">
        <v>37</v>
      </c>
      <c r="G50" t="s">
        <v>25</v>
      </c>
      <c r="I50" t="s">
        <v>288</v>
      </c>
      <c r="J50" t="s">
        <v>288</v>
      </c>
      <c r="K50">
        <v>338</v>
      </c>
      <c r="L50" t="s">
        <v>36</v>
      </c>
      <c r="N50" t="s">
        <v>28</v>
      </c>
      <c r="O50" t="s">
        <v>291</v>
      </c>
    </row>
    <row r="51" spans="1:15" x14ac:dyDescent="0.3">
      <c r="A51" t="s">
        <v>288</v>
      </c>
      <c r="B51" t="s">
        <v>43</v>
      </c>
      <c r="C51" t="s">
        <v>286</v>
      </c>
      <c r="D51">
        <v>16</v>
      </c>
      <c r="E51" t="s">
        <v>391</v>
      </c>
      <c r="F51" t="s">
        <v>37</v>
      </c>
      <c r="G51" t="s">
        <v>25</v>
      </c>
      <c r="I51" t="s">
        <v>288</v>
      </c>
      <c r="J51" t="s">
        <v>288</v>
      </c>
      <c r="K51">
        <v>338</v>
      </c>
      <c r="L51" t="s">
        <v>36</v>
      </c>
      <c r="N51" t="s">
        <v>28</v>
      </c>
      <c r="O51" t="s">
        <v>291</v>
      </c>
    </row>
    <row r="52" spans="1:15" x14ac:dyDescent="0.3">
      <c r="A52" t="s">
        <v>288</v>
      </c>
      <c r="B52" t="s">
        <v>43</v>
      </c>
      <c r="C52" t="s">
        <v>286</v>
      </c>
      <c r="D52">
        <v>17</v>
      </c>
      <c r="E52" t="s">
        <v>391</v>
      </c>
      <c r="F52" t="s">
        <v>37</v>
      </c>
      <c r="G52" t="s">
        <v>25</v>
      </c>
      <c r="I52" t="s">
        <v>288</v>
      </c>
      <c r="J52" t="s">
        <v>288</v>
      </c>
      <c r="K52">
        <v>338</v>
      </c>
      <c r="L52" t="s">
        <v>36</v>
      </c>
      <c r="N52" t="s">
        <v>28</v>
      </c>
      <c r="O52" t="s">
        <v>291</v>
      </c>
    </row>
    <row r="53" spans="1:15" x14ac:dyDescent="0.3">
      <c r="A53" t="s">
        <v>288</v>
      </c>
      <c r="B53" t="s">
        <v>43</v>
      </c>
      <c r="C53" t="s">
        <v>286</v>
      </c>
      <c r="D53">
        <v>19</v>
      </c>
      <c r="E53" t="s">
        <v>391</v>
      </c>
      <c r="F53" t="s">
        <v>37</v>
      </c>
      <c r="G53" t="s">
        <v>25</v>
      </c>
      <c r="I53" t="s">
        <v>288</v>
      </c>
      <c r="J53" t="s">
        <v>288</v>
      </c>
      <c r="K53">
        <v>338</v>
      </c>
      <c r="L53" t="s">
        <v>36</v>
      </c>
      <c r="N53" t="s">
        <v>28</v>
      </c>
      <c r="O53" t="s">
        <v>291</v>
      </c>
    </row>
    <row r="54" spans="1:15" x14ac:dyDescent="0.3">
      <c r="A54" t="s">
        <v>288</v>
      </c>
      <c r="B54" t="s">
        <v>43</v>
      </c>
      <c r="C54" t="s">
        <v>286</v>
      </c>
      <c r="D54">
        <v>20</v>
      </c>
      <c r="E54" t="s">
        <v>391</v>
      </c>
      <c r="F54" t="s">
        <v>37</v>
      </c>
      <c r="G54" t="s">
        <v>25</v>
      </c>
      <c r="I54" t="s">
        <v>288</v>
      </c>
      <c r="J54" t="s">
        <v>288</v>
      </c>
      <c r="K54">
        <v>338</v>
      </c>
      <c r="L54" t="s">
        <v>36</v>
      </c>
      <c r="N54" t="s">
        <v>28</v>
      </c>
      <c r="O54" t="s">
        <v>291</v>
      </c>
    </row>
    <row r="55" spans="1:15" x14ac:dyDescent="0.3">
      <c r="A55" t="s">
        <v>232</v>
      </c>
      <c r="B55" t="s">
        <v>46</v>
      </c>
      <c r="C55" t="s">
        <v>293</v>
      </c>
      <c r="D55">
        <v>6</v>
      </c>
      <c r="E55" t="s">
        <v>391</v>
      </c>
      <c r="F55" t="s">
        <v>25</v>
      </c>
      <c r="I55" t="s">
        <v>232</v>
      </c>
      <c r="J55" t="s">
        <v>232</v>
      </c>
      <c r="K55">
        <v>319</v>
      </c>
      <c r="L55" t="s">
        <v>36</v>
      </c>
      <c r="N55" t="s">
        <v>45</v>
      </c>
    </row>
    <row r="56" spans="1:15" x14ac:dyDescent="0.3">
      <c r="A56" t="s">
        <v>232</v>
      </c>
      <c r="B56" t="s">
        <v>46</v>
      </c>
      <c r="C56" t="s">
        <v>293</v>
      </c>
      <c r="D56">
        <v>7</v>
      </c>
      <c r="E56" t="s">
        <v>391</v>
      </c>
      <c r="F56" t="s">
        <v>25</v>
      </c>
      <c r="I56" t="s">
        <v>232</v>
      </c>
      <c r="J56" t="s">
        <v>232</v>
      </c>
      <c r="K56">
        <v>319</v>
      </c>
      <c r="L56" t="s">
        <v>36</v>
      </c>
      <c r="N56" t="s">
        <v>45</v>
      </c>
    </row>
    <row r="57" spans="1:15" x14ac:dyDescent="0.3">
      <c r="A57" t="s">
        <v>232</v>
      </c>
      <c r="B57" t="s">
        <v>46</v>
      </c>
      <c r="C57" t="s">
        <v>293</v>
      </c>
      <c r="D57">
        <v>9</v>
      </c>
      <c r="E57" t="s">
        <v>391</v>
      </c>
      <c r="F57" t="s">
        <v>25</v>
      </c>
      <c r="I57" t="s">
        <v>232</v>
      </c>
      <c r="J57" t="s">
        <v>232</v>
      </c>
      <c r="K57">
        <v>319</v>
      </c>
      <c r="L57" t="s">
        <v>36</v>
      </c>
      <c r="N57" t="s">
        <v>45</v>
      </c>
    </row>
    <row r="58" spans="1:15" x14ac:dyDescent="0.3">
      <c r="A58" t="s">
        <v>232</v>
      </c>
      <c r="B58" t="s">
        <v>46</v>
      </c>
      <c r="C58" t="s">
        <v>294</v>
      </c>
      <c r="D58">
        <v>6</v>
      </c>
      <c r="E58" t="s">
        <v>391</v>
      </c>
      <c r="F58" t="s">
        <v>25</v>
      </c>
      <c r="I58" t="s">
        <v>232</v>
      </c>
      <c r="J58" t="s">
        <v>232</v>
      </c>
      <c r="K58">
        <v>319</v>
      </c>
      <c r="L58" t="s">
        <v>36</v>
      </c>
      <c r="N58" t="s">
        <v>45</v>
      </c>
    </row>
    <row r="59" spans="1:15" x14ac:dyDescent="0.3">
      <c r="A59" t="s">
        <v>232</v>
      </c>
      <c r="B59" t="s">
        <v>46</v>
      </c>
      <c r="C59" t="s">
        <v>294</v>
      </c>
      <c r="D59">
        <v>7</v>
      </c>
      <c r="E59" t="s">
        <v>391</v>
      </c>
      <c r="F59" t="s">
        <v>25</v>
      </c>
      <c r="I59" t="s">
        <v>232</v>
      </c>
      <c r="J59" t="s">
        <v>232</v>
      </c>
      <c r="K59">
        <v>319</v>
      </c>
      <c r="L59" t="s">
        <v>36</v>
      </c>
      <c r="N59" t="s">
        <v>45</v>
      </c>
    </row>
    <row r="60" spans="1:15" x14ac:dyDescent="0.3">
      <c r="A60" t="s">
        <v>232</v>
      </c>
      <c r="B60" t="s">
        <v>46</v>
      </c>
      <c r="C60" t="s">
        <v>294</v>
      </c>
      <c r="D60">
        <v>9</v>
      </c>
      <c r="E60" t="s">
        <v>391</v>
      </c>
      <c r="F60" t="s">
        <v>25</v>
      </c>
      <c r="I60" t="s">
        <v>232</v>
      </c>
      <c r="J60" t="s">
        <v>232</v>
      </c>
      <c r="K60">
        <v>319</v>
      </c>
      <c r="L60" t="s">
        <v>36</v>
      </c>
      <c r="N60" t="s">
        <v>45</v>
      </c>
    </row>
    <row r="61" spans="1:15" x14ac:dyDescent="0.3">
      <c r="A61" t="s">
        <v>232</v>
      </c>
      <c r="B61" t="s">
        <v>46</v>
      </c>
      <c r="C61" t="s">
        <v>295</v>
      </c>
      <c r="D61">
        <v>6</v>
      </c>
      <c r="E61" t="s">
        <v>391</v>
      </c>
      <c r="F61" t="s">
        <v>25</v>
      </c>
      <c r="I61" t="s">
        <v>232</v>
      </c>
      <c r="J61" t="s">
        <v>232</v>
      </c>
      <c r="K61">
        <v>319</v>
      </c>
      <c r="L61" t="s">
        <v>36</v>
      </c>
      <c r="N61" t="s">
        <v>45</v>
      </c>
    </row>
    <row r="62" spans="1:15" x14ac:dyDescent="0.3">
      <c r="A62" t="s">
        <v>232</v>
      </c>
      <c r="B62" t="s">
        <v>46</v>
      </c>
      <c r="C62" t="s">
        <v>295</v>
      </c>
      <c r="D62">
        <v>7</v>
      </c>
      <c r="E62" t="s">
        <v>391</v>
      </c>
      <c r="F62" t="s">
        <v>25</v>
      </c>
      <c r="I62" t="s">
        <v>232</v>
      </c>
      <c r="J62" t="s">
        <v>232</v>
      </c>
      <c r="K62">
        <v>319</v>
      </c>
      <c r="L62" t="s">
        <v>36</v>
      </c>
      <c r="N62" t="s">
        <v>45</v>
      </c>
    </row>
    <row r="63" spans="1:15" x14ac:dyDescent="0.3">
      <c r="A63" t="s">
        <v>232</v>
      </c>
      <c r="B63" t="s">
        <v>46</v>
      </c>
      <c r="C63" t="s">
        <v>295</v>
      </c>
      <c r="D63">
        <v>9</v>
      </c>
      <c r="E63" t="s">
        <v>391</v>
      </c>
      <c r="F63" t="s">
        <v>25</v>
      </c>
      <c r="I63" t="s">
        <v>232</v>
      </c>
      <c r="J63" t="s">
        <v>232</v>
      </c>
      <c r="K63">
        <v>319</v>
      </c>
      <c r="L63" t="s">
        <v>36</v>
      </c>
      <c r="N63" t="s">
        <v>45</v>
      </c>
    </row>
    <row r="64" spans="1:15" x14ac:dyDescent="0.3">
      <c r="A64" t="s">
        <v>232</v>
      </c>
      <c r="B64" t="s">
        <v>46</v>
      </c>
      <c r="C64" t="s">
        <v>296</v>
      </c>
      <c r="D64">
        <v>6</v>
      </c>
      <c r="E64" t="s">
        <v>391</v>
      </c>
      <c r="F64" t="s">
        <v>25</v>
      </c>
      <c r="I64" t="s">
        <v>232</v>
      </c>
      <c r="J64" t="s">
        <v>232</v>
      </c>
      <c r="K64">
        <v>319</v>
      </c>
      <c r="L64" t="s">
        <v>36</v>
      </c>
      <c r="N64" t="s">
        <v>45</v>
      </c>
    </row>
    <row r="65" spans="1:15" x14ac:dyDescent="0.3">
      <c r="A65" t="s">
        <v>232</v>
      </c>
      <c r="B65" t="s">
        <v>46</v>
      </c>
      <c r="C65" t="s">
        <v>296</v>
      </c>
      <c r="D65">
        <v>7</v>
      </c>
      <c r="E65" t="s">
        <v>391</v>
      </c>
      <c r="F65" t="s">
        <v>25</v>
      </c>
      <c r="I65" t="s">
        <v>232</v>
      </c>
      <c r="J65" t="s">
        <v>232</v>
      </c>
      <c r="K65">
        <v>319</v>
      </c>
      <c r="L65" t="s">
        <v>36</v>
      </c>
      <c r="N65" t="s">
        <v>45</v>
      </c>
    </row>
    <row r="66" spans="1:15" x14ac:dyDescent="0.3">
      <c r="A66" t="s">
        <v>232</v>
      </c>
      <c r="B66" t="s">
        <v>46</v>
      </c>
      <c r="C66" t="s">
        <v>296</v>
      </c>
      <c r="D66">
        <v>9</v>
      </c>
      <c r="E66" t="s">
        <v>391</v>
      </c>
      <c r="F66" t="s">
        <v>25</v>
      </c>
      <c r="I66" t="s">
        <v>232</v>
      </c>
      <c r="J66" t="s">
        <v>232</v>
      </c>
      <c r="K66">
        <v>319</v>
      </c>
      <c r="L66" t="s">
        <v>36</v>
      </c>
      <c r="N66" t="s">
        <v>45</v>
      </c>
    </row>
    <row r="67" spans="1:15" x14ac:dyDescent="0.3">
      <c r="A67" t="s">
        <v>232</v>
      </c>
      <c r="B67" t="s">
        <v>46</v>
      </c>
      <c r="C67" t="s">
        <v>297</v>
      </c>
      <c r="D67">
        <v>5</v>
      </c>
      <c r="E67" t="s">
        <v>391</v>
      </c>
      <c r="F67" t="s">
        <v>25</v>
      </c>
      <c r="I67" t="s">
        <v>232</v>
      </c>
      <c r="J67" t="s">
        <v>232</v>
      </c>
      <c r="K67">
        <v>319</v>
      </c>
      <c r="L67" t="s">
        <v>36</v>
      </c>
      <c r="N67" t="s">
        <v>45</v>
      </c>
    </row>
    <row r="68" spans="1:15" x14ac:dyDescent="0.3">
      <c r="A68" t="s">
        <v>232</v>
      </c>
      <c r="B68" t="s">
        <v>46</v>
      </c>
      <c r="C68" t="s">
        <v>297</v>
      </c>
      <c r="D68">
        <v>6</v>
      </c>
      <c r="E68" t="s">
        <v>391</v>
      </c>
      <c r="F68" t="s">
        <v>25</v>
      </c>
      <c r="I68" t="s">
        <v>232</v>
      </c>
      <c r="J68" t="s">
        <v>232</v>
      </c>
      <c r="K68">
        <v>319</v>
      </c>
      <c r="L68" t="s">
        <v>36</v>
      </c>
      <c r="N68" t="s">
        <v>45</v>
      </c>
    </row>
    <row r="69" spans="1:15" x14ac:dyDescent="0.3">
      <c r="A69" t="s">
        <v>232</v>
      </c>
      <c r="B69" t="s">
        <v>46</v>
      </c>
      <c r="C69" t="s">
        <v>297</v>
      </c>
      <c r="D69">
        <v>8</v>
      </c>
      <c r="E69" t="s">
        <v>391</v>
      </c>
      <c r="F69" t="s">
        <v>25</v>
      </c>
      <c r="I69" t="s">
        <v>232</v>
      </c>
      <c r="J69" t="s">
        <v>232</v>
      </c>
      <c r="K69">
        <v>319</v>
      </c>
      <c r="L69" t="s">
        <v>36</v>
      </c>
      <c r="N69" t="s">
        <v>45</v>
      </c>
    </row>
    <row r="70" spans="1:15" x14ac:dyDescent="0.3">
      <c r="A70" t="s">
        <v>232</v>
      </c>
      <c r="B70" t="s">
        <v>46</v>
      </c>
      <c r="C70" t="s">
        <v>298</v>
      </c>
      <c r="D70">
        <v>5</v>
      </c>
      <c r="E70" t="s">
        <v>391</v>
      </c>
      <c r="F70" t="s">
        <v>25</v>
      </c>
      <c r="I70" t="s">
        <v>232</v>
      </c>
      <c r="J70" t="s">
        <v>232</v>
      </c>
      <c r="K70">
        <v>319</v>
      </c>
      <c r="L70" t="s">
        <v>36</v>
      </c>
      <c r="N70" t="s">
        <v>45</v>
      </c>
    </row>
    <row r="71" spans="1:15" x14ac:dyDescent="0.3">
      <c r="A71" t="s">
        <v>232</v>
      </c>
      <c r="B71" t="s">
        <v>46</v>
      </c>
      <c r="C71" t="s">
        <v>298</v>
      </c>
      <c r="D71">
        <v>6</v>
      </c>
      <c r="E71" t="s">
        <v>391</v>
      </c>
      <c r="F71" t="s">
        <v>25</v>
      </c>
      <c r="I71" t="s">
        <v>232</v>
      </c>
      <c r="J71" t="s">
        <v>232</v>
      </c>
      <c r="K71">
        <v>319</v>
      </c>
      <c r="L71" t="s">
        <v>36</v>
      </c>
      <c r="N71" t="s">
        <v>45</v>
      </c>
    </row>
    <row r="72" spans="1:15" x14ac:dyDescent="0.3">
      <c r="A72" t="s">
        <v>232</v>
      </c>
      <c r="B72" t="s">
        <v>46</v>
      </c>
      <c r="C72" t="s">
        <v>298</v>
      </c>
      <c r="D72">
        <v>8</v>
      </c>
      <c r="E72" t="s">
        <v>391</v>
      </c>
      <c r="F72" t="s">
        <v>25</v>
      </c>
      <c r="I72" t="s">
        <v>232</v>
      </c>
      <c r="J72" t="s">
        <v>232</v>
      </c>
      <c r="K72">
        <v>319</v>
      </c>
      <c r="L72" t="s">
        <v>36</v>
      </c>
      <c r="N72" t="s">
        <v>45</v>
      </c>
    </row>
    <row r="73" spans="1:15" x14ac:dyDescent="0.3">
      <c r="A73" t="s">
        <v>232</v>
      </c>
      <c r="B73" t="s">
        <v>46</v>
      </c>
      <c r="C73" t="s">
        <v>299</v>
      </c>
      <c r="D73">
        <v>3</v>
      </c>
      <c r="E73" t="s">
        <v>391</v>
      </c>
      <c r="F73" t="s">
        <v>25</v>
      </c>
      <c r="I73" t="s">
        <v>232</v>
      </c>
      <c r="J73" t="s">
        <v>232</v>
      </c>
      <c r="K73">
        <v>319</v>
      </c>
      <c r="L73" t="s">
        <v>36</v>
      </c>
      <c r="N73" t="s">
        <v>45</v>
      </c>
    </row>
    <row r="74" spans="1:15" x14ac:dyDescent="0.3">
      <c r="A74" t="s">
        <v>232</v>
      </c>
      <c r="B74" t="s">
        <v>46</v>
      </c>
      <c r="C74" t="s">
        <v>299</v>
      </c>
      <c r="D74">
        <v>4</v>
      </c>
      <c r="E74" t="s">
        <v>391</v>
      </c>
      <c r="F74" t="s">
        <v>25</v>
      </c>
      <c r="I74" t="s">
        <v>232</v>
      </c>
      <c r="J74" t="s">
        <v>232</v>
      </c>
      <c r="K74">
        <v>319</v>
      </c>
      <c r="L74" t="s">
        <v>36</v>
      </c>
      <c r="N74" t="s">
        <v>45</v>
      </c>
    </row>
    <row r="75" spans="1:15" x14ac:dyDescent="0.3">
      <c r="A75" t="s">
        <v>232</v>
      </c>
      <c r="B75" t="s">
        <v>46</v>
      </c>
      <c r="C75" t="s">
        <v>299</v>
      </c>
      <c r="D75">
        <v>6</v>
      </c>
      <c r="E75" t="s">
        <v>391</v>
      </c>
      <c r="F75" t="s">
        <v>25</v>
      </c>
      <c r="I75" t="s">
        <v>232</v>
      </c>
      <c r="J75" t="s">
        <v>232</v>
      </c>
      <c r="K75">
        <v>319</v>
      </c>
      <c r="L75" t="s">
        <v>36</v>
      </c>
      <c r="N75" t="s">
        <v>45</v>
      </c>
    </row>
    <row r="76" spans="1:15" x14ac:dyDescent="0.3">
      <c r="A76" t="s">
        <v>232</v>
      </c>
      <c r="B76" t="s">
        <v>46</v>
      </c>
      <c r="C76" t="s">
        <v>300</v>
      </c>
      <c r="D76">
        <v>5</v>
      </c>
      <c r="E76" t="s">
        <v>391</v>
      </c>
      <c r="F76" t="s">
        <v>25</v>
      </c>
      <c r="I76" t="s">
        <v>232</v>
      </c>
      <c r="J76" t="s">
        <v>232</v>
      </c>
      <c r="K76">
        <v>319</v>
      </c>
      <c r="L76" t="s">
        <v>36</v>
      </c>
      <c r="N76" t="s">
        <v>45</v>
      </c>
    </row>
    <row r="77" spans="1:15" x14ac:dyDescent="0.3">
      <c r="A77" t="s">
        <v>232</v>
      </c>
      <c r="B77" t="s">
        <v>46</v>
      </c>
      <c r="C77" t="s">
        <v>300</v>
      </c>
      <c r="D77">
        <v>6</v>
      </c>
      <c r="E77" t="s">
        <v>391</v>
      </c>
      <c r="F77" t="s">
        <v>25</v>
      </c>
      <c r="I77" t="s">
        <v>232</v>
      </c>
      <c r="J77" t="s">
        <v>232</v>
      </c>
      <c r="K77">
        <v>319</v>
      </c>
      <c r="L77" t="s">
        <v>36</v>
      </c>
      <c r="N77" t="s">
        <v>45</v>
      </c>
    </row>
    <row r="78" spans="1:15" x14ac:dyDescent="0.3">
      <c r="A78" t="s">
        <v>232</v>
      </c>
      <c r="B78" t="s">
        <v>46</v>
      </c>
      <c r="C78" t="s">
        <v>300</v>
      </c>
      <c r="D78">
        <v>8</v>
      </c>
      <c r="E78" t="s">
        <v>391</v>
      </c>
      <c r="F78" t="s">
        <v>25</v>
      </c>
      <c r="I78" t="s">
        <v>232</v>
      </c>
      <c r="J78" t="s">
        <v>232</v>
      </c>
      <c r="K78">
        <v>319</v>
      </c>
      <c r="L78" t="s">
        <v>36</v>
      </c>
      <c r="N78" t="s">
        <v>45</v>
      </c>
    </row>
    <row r="79" spans="1:15" x14ac:dyDescent="0.3">
      <c r="A79" t="s">
        <v>232</v>
      </c>
      <c r="B79" t="s">
        <v>46</v>
      </c>
      <c r="C79" t="s">
        <v>301</v>
      </c>
      <c r="D79">
        <v>136</v>
      </c>
      <c r="E79" t="s">
        <v>391</v>
      </c>
      <c r="F79" t="s">
        <v>37</v>
      </c>
      <c r="G79" t="s">
        <v>25</v>
      </c>
      <c r="I79" t="s">
        <v>232</v>
      </c>
      <c r="J79" t="s">
        <v>232</v>
      </c>
      <c r="K79">
        <v>319</v>
      </c>
      <c r="L79" t="s">
        <v>36</v>
      </c>
      <c r="N79" t="s">
        <v>28</v>
      </c>
      <c r="O79" t="s">
        <v>302</v>
      </c>
    </row>
    <row r="80" spans="1:15" x14ac:dyDescent="0.3">
      <c r="A80" t="s">
        <v>232</v>
      </c>
      <c r="B80" t="s">
        <v>46</v>
      </c>
      <c r="C80" t="s">
        <v>23</v>
      </c>
      <c r="D80">
        <v>129</v>
      </c>
      <c r="E80" t="s">
        <v>391</v>
      </c>
      <c r="F80" t="s">
        <v>25</v>
      </c>
      <c r="I80" t="s">
        <v>232</v>
      </c>
      <c r="J80" t="s">
        <v>232</v>
      </c>
      <c r="K80">
        <v>319</v>
      </c>
      <c r="L80" t="s">
        <v>36</v>
      </c>
      <c r="N80" t="s">
        <v>45</v>
      </c>
    </row>
    <row r="81" spans="1:15" x14ac:dyDescent="0.3">
      <c r="A81" t="s">
        <v>232</v>
      </c>
      <c r="B81" t="s">
        <v>46</v>
      </c>
      <c r="C81" t="s">
        <v>23</v>
      </c>
      <c r="D81">
        <v>130</v>
      </c>
      <c r="E81" t="s">
        <v>391</v>
      </c>
      <c r="F81" t="s">
        <v>25</v>
      </c>
      <c r="I81" t="s">
        <v>232</v>
      </c>
      <c r="J81" t="s">
        <v>232</v>
      </c>
      <c r="K81">
        <v>319</v>
      </c>
      <c r="L81" t="s">
        <v>36</v>
      </c>
      <c r="N81" t="s">
        <v>45</v>
      </c>
    </row>
    <row r="82" spans="1:15" x14ac:dyDescent="0.3">
      <c r="A82" t="s">
        <v>232</v>
      </c>
      <c r="B82" t="s">
        <v>46</v>
      </c>
      <c r="C82" t="s">
        <v>23</v>
      </c>
      <c r="D82">
        <v>132</v>
      </c>
      <c r="E82" t="s">
        <v>391</v>
      </c>
      <c r="F82" t="s">
        <v>25</v>
      </c>
      <c r="I82" t="s">
        <v>232</v>
      </c>
      <c r="J82" t="s">
        <v>232</v>
      </c>
      <c r="K82">
        <v>319</v>
      </c>
      <c r="L82" t="s">
        <v>36</v>
      </c>
      <c r="N82" t="s">
        <v>45</v>
      </c>
    </row>
    <row r="83" spans="1:15" x14ac:dyDescent="0.3">
      <c r="A83" t="s">
        <v>232</v>
      </c>
      <c r="B83" t="s">
        <v>46</v>
      </c>
      <c r="C83" t="s">
        <v>303</v>
      </c>
      <c r="D83">
        <v>74</v>
      </c>
      <c r="E83" t="s">
        <v>391</v>
      </c>
      <c r="F83" t="s">
        <v>25</v>
      </c>
      <c r="I83" t="s">
        <v>232</v>
      </c>
      <c r="J83" t="s">
        <v>232</v>
      </c>
      <c r="K83">
        <v>319</v>
      </c>
      <c r="L83" t="s">
        <v>36</v>
      </c>
      <c r="N83" t="s">
        <v>45</v>
      </c>
    </row>
    <row r="84" spans="1:15" x14ac:dyDescent="0.3">
      <c r="A84" t="s">
        <v>232</v>
      </c>
      <c r="B84" t="s">
        <v>46</v>
      </c>
      <c r="C84" t="s">
        <v>303</v>
      </c>
      <c r="D84">
        <v>107</v>
      </c>
      <c r="E84" t="s">
        <v>391</v>
      </c>
      <c r="F84" t="s">
        <v>25</v>
      </c>
      <c r="I84" t="s">
        <v>232</v>
      </c>
      <c r="J84" t="s">
        <v>232</v>
      </c>
      <c r="K84">
        <v>319</v>
      </c>
      <c r="L84" t="s">
        <v>36</v>
      </c>
      <c r="N84" t="s">
        <v>45</v>
      </c>
    </row>
    <row r="85" spans="1:15" x14ac:dyDescent="0.3">
      <c r="A85" t="s">
        <v>232</v>
      </c>
      <c r="B85" t="s">
        <v>46</v>
      </c>
      <c r="C85" t="s">
        <v>304</v>
      </c>
      <c r="D85">
        <v>45</v>
      </c>
      <c r="E85" t="s">
        <v>391</v>
      </c>
      <c r="F85" t="s">
        <v>37</v>
      </c>
      <c r="G85" t="s">
        <v>25</v>
      </c>
      <c r="I85" t="s">
        <v>232</v>
      </c>
      <c r="J85" t="s">
        <v>232</v>
      </c>
      <c r="K85">
        <v>319</v>
      </c>
      <c r="L85" t="s">
        <v>36</v>
      </c>
      <c r="N85" t="s">
        <v>28</v>
      </c>
      <c r="O85" t="s">
        <v>305</v>
      </c>
    </row>
    <row r="86" spans="1:15" x14ac:dyDescent="0.3">
      <c r="A86" t="s">
        <v>232</v>
      </c>
      <c r="B86" t="s">
        <v>46</v>
      </c>
      <c r="C86" t="s">
        <v>304</v>
      </c>
      <c r="D86">
        <v>81</v>
      </c>
      <c r="E86" t="s">
        <v>391</v>
      </c>
      <c r="F86" t="s">
        <v>37</v>
      </c>
      <c r="G86" t="s">
        <v>25</v>
      </c>
      <c r="I86" t="s">
        <v>232</v>
      </c>
      <c r="J86" t="s">
        <v>232</v>
      </c>
      <c r="K86">
        <v>319</v>
      </c>
      <c r="L86" t="s">
        <v>36</v>
      </c>
      <c r="N86" t="s">
        <v>28</v>
      </c>
      <c r="O86" t="s">
        <v>305</v>
      </c>
    </row>
    <row r="87" spans="1:15" x14ac:dyDescent="0.3">
      <c r="A87" t="s">
        <v>232</v>
      </c>
      <c r="B87" t="s">
        <v>46</v>
      </c>
      <c r="C87" t="s">
        <v>306</v>
      </c>
      <c r="D87">
        <v>38</v>
      </c>
      <c r="E87" t="s">
        <v>391</v>
      </c>
      <c r="F87" t="s">
        <v>37</v>
      </c>
      <c r="G87" t="s">
        <v>25</v>
      </c>
      <c r="I87" t="s">
        <v>232</v>
      </c>
      <c r="J87" t="s">
        <v>232</v>
      </c>
      <c r="K87">
        <v>319</v>
      </c>
      <c r="L87" t="s">
        <v>36</v>
      </c>
      <c r="N87" t="s">
        <v>28</v>
      </c>
      <c r="O87" t="s">
        <v>305</v>
      </c>
    </row>
    <row r="88" spans="1:15" x14ac:dyDescent="0.3">
      <c r="A88" t="s">
        <v>232</v>
      </c>
      <c r="B88" t="s">
        <v>46</v>
      </c>
      <c r="C88" t="s">
        <v>306</v>
      </c>
      <c r="D88">
        <v>42</v>
      </c>
      <c r="E88" t="s">
        <v>391</v>
      </c>
      <c r="F88" t="s">
        <v>37</v>
      </c>
      <c r="G88" t="s">
        <v>25</v>
      </c>
      <c r="I88" t="s">
        <v>232</v>
      </c>
      <c r="J88" t="s">
        <v>232</v>
      </c>
      <c r="K88">
        <v>319</v>
      </c>
      <c r="L88" t="s">
        <v>36</v>
      </c>
      <c r="N88" t="s">
        <v>28</v>
      </c>
      <c r="O88" t="s">
        <v>305</v>
      </c>
    </row>
    <row r="89" spans="1:15" x14ac:dyDescent="0.3">
      <c r="A89" t="s">
        <v>232</v>
      </c>
      <c r="B89" t="s">
        <v>46</v>
      </c>
      <c r="C89" t="s">
        <v>307</v>
      </c>
      <c r="D89">
        <v>88</v>
      </c>
      <c r="E89" t="s">
        <v>391</v>
      </c>
      <c r="F89" t="s">
        <v>37</v>
      </c>
      <c r="G89" t="s">
        <v>25</v>
      </c>
      <c r="I89" t="s">
        <v>232</v>
      </c>
      <c r="J89" t="s">
        <v>232</v>
      </c>
      <c r="K89">
        <v>319</v>
      </c>
      <c r="L89" t="s">
        <v>36</v>
      </c>
      <c r="N89" t="s">
        <v>28</v>
      </c>
      <c r="O89" t="s">
        <v>305</v>
      </c>
    </row>
    <row r="90" spans="1:15" x14ac:dyDescent="0.3">
      <c r="A90" t="s">
        <v>232</v>
      </c>
      <c r="B90" t="s">
        <v>46</v>
      </c>
      <c r="C90" t="s">
        <v>307</v>
      </c>
      <c r="D90">
        <v>97</v>
      </c>
      <c r="E90" t="s">
        <v>391</v>
      </c>
      <c r="F90" t="s">
        <v>37</v>
      </c>
      <c r="G90" t="s">
        <v>25</v>
      </c>
      <c r="I90" t="s">
        <v>232</v>
      </c>
      <c r="J90" t="s">
        <v>232</v>
      </c>
      <c r="K90">
        <v>319</v>
      </c>
      <c r="L90" t="s">
        <v>36</v>
      </c>
      <c r="N90" t="s">
        <v>28</v>
      </c>
      <c r="O90" t="s">
        <v>305</v>
      </c>
    </row>
    <row r="91" spans="1:15" x14ac:dyDescent="0.3">
      <c r="A91" t="s">
        <v>232</v>
      </c>
      <c r="B91" t="s">
        <v>46</v>
      </c>
      <c r="C91" t="s">
        <v>307</v>
      </c>
      <c r="D91">
        <v>106</v>
      </c>
      <c r="E91" t="s">
        <v>391</v>
      </c>
      <c r="F91" t="s">
        <v>37</v>
      </c>
      <c r="G91" t="s">
        <v>25</v>
      </c>
      <c r="I91" t="s">
        <v>232</v>
      </c>
      <c r="J91" t="s">
        <v>232</v>
      </c>
      <c r="K91">
        <v>319</v>
      </c>
      <c r="L91" t="s">
        <v>36</v>
      </c>
      <c r="N91" t="s">
        <v>28</v>
      </c>
      <c r="O91" t="s">
        <v>305</v>
      </c>
    </row>
    <row r="92" spans="1:15" x14ac:dyDescent="0.3">
      <c r="A92" t="s">
        <v>232</v>
      </c>
      <c r="B92" t="s">
        <v>46</v>
      </c>
      <c r="C92" t="s">
        <v>307</v>
      </c>
      <c r="D92">
        <v>115</v>
      </c>
      <c r="E92" t="s">
        <v>391</v>
      </c>
      <c r="F92" t="s">
        <v>37</v>
      </c>
      <c r="G92" t="s">
        <v>25</v>
      </c>
      <c r="I92" t="s">
        <v>232</v>
      </c>
      <c r="J92" t="s">
        <v>232</v>
      </c>
      <c r="K92">
        <v>319</v>
      </c>
      <c r="L92" t="s">
        <v>36</v>
      </c>
      <c r="N92" t="s">
        <v>28</v>
      </c>
      <c r="O92" t="s">
        <v>305</v>
      </c>
    </row>
    <row r="93" spans="1:15" x14ac:dyDescent="0.3">
      <c r="A93" t="s">
        <v>232</v>
      </c>
      <c r="B93" t="s">
        <v>46</v>
      </c>
      <c r="C93" t="s">
        <v>307</v>
      </c>
      <c r="D93">
        <v>125</v>
      </c>
      <c r="E93" t="s">
        <v>391</v>
      </c>
      <c r="F93" t="s">
        <v>37</v>
      </c>
      <c r="G93" t="s">
        <v>25</v>
      </c>
      <c r="I93" t="s">
        <v>232</v>
      </c>
      <c r="J93" t="s">
        <v>232</v>
      </c>
      <c r="K93">
        <v>319</v>
      </c>
      <c r="L93" t="s">
        <v>36</v>
      </c>
      <c r="N93" t="s">
        <v>28</v>
      </c>
      <c r="O93" t="s">
        <v>305</v>
      </c>
    </row>
    <row r="94" spans="1:15" x14ac:dyDescent="0.3">
      <c r="A94" t="s">
        <v>232</v>
      </c>
      <c r="B94" t="s">
        <v>46</v>
      </c>
      <c r="C94" t="s">
        <v>307</v>
      </c>
      <c r="D94">
        <v>134</v>
      </c>
      <c r="E94" t="s">
        <v>391</v>
      </c>
      <c r="F94" t="s">
        <v>37</v>
      </c>
      <c r="G94" t="s">
        <v>25</v>
      </c>
      <c r="I94" t="s">
        <v>232</v>
      </c>
      <c r="J94" t="s">
        <v>232</v>
      </c>
      <c r="K94">
        <v>319</v>
      </c>
      <c r="L94" t="s">
        <v>36</v>
      </c>
      <c r="N94" t="s">
        <v>28</v>
      </c>
      <c r="O94" t="s">
        <v>305</v>
      </c>
    </row>
    <row r="95" spans="1:15" x14ac:dyDescent="0.3">
      <c r="A95" t="s">
        <v>232</v>
      </c>
      <c r="B95" t="s">
        <v>46</v>
      </c>
      <c r="C95" t="s">
        <v>307</v>
      </c>
      <c r="D95">
        <v>143</v>
      </c>
      <c r="E95" t="s">
        <v>391</v>
      </c>
      <c r="F95" t="s">
        <v>37</v>
      </c>
      <c r="G95" t="s">
        <v>25</v>
      </c>
      <c r="I95" t="s">
        <v>232</v>
      </c>
      <c r="J95" t="s">
        <v>232</v>
      </c>
      <c r="K95">
        <v>319</v>
      </c>
      <c r="L95" t="s">
        <v>36</v>
      </c>
      <c r="N95" t="s">
        <v>28</v>
      </c>
      <c r="O95" t="s">
        <v>305</v>
      </c>
    </row>
    <row r="96" spans="1:15" x14ac:dyDescent="0.3">
      <c r="A96" t="s">
        <v>232</v>
      </c>
      <c r="B96" t="s">
        <v>46</v>
      </c>
      <c r="C96" t="s">
        <v>285</v>
      </c>
      <c r="D96">
        <v>7</v>
      </c>
      <c r="E96" t="s">
        <v>391</v>
      </c>
      <c r="F96" t="s">
        <v>37</v>
      </c>
      <c r="G96" t="s">
        <v>25</v>
      </c>
      <c r="I96" t="s">
        <v>232</v>
      </c>
      <c r="J96" t="s">
        <v>232</v>
      </c>
      <c r="K96">
        <v>319</v>
      </c>
      <c r="L96" t="s">
        <v>36</v>
      </c>
      <c r="N96" t="s">
        <v>28</v>
      </c>
      <c r="O96" t="s">
        <v>308</v>
      </c>
    </row>
    <row r="97" spans="1:15" x14ac:dyDescent="0.3">
      <c r="A97" t="s">
        <v>312</v>
      </c>
      <c r="B97" t="s">
        <v>46</v>
      </c>
      <c r="C97" t="s">
        <v>149</v>
      </c>
      <c r="D97">
        <v>182</v>
      </c>
      <c r="E97" t="s">
        <v>391</v>
      </c>
      <c r="F97" t="s">
        <v>25</v>
      </c>
      <c r="I97" t="s">
        <v>309</v>
      </c>
      <c r="J97" t="s">
        <v>309</v>
      </c>
      <c r="K97">
        <v>346</v>
      </c>
      <c r="L97" t="s">
        <v>36</v>
      </c>
      <c r="N97" t="s">
        <v>45</v>
      </c>
    </row>
    <row r="98" spans="1:15" x14ac:dyDescent="0.3">
      <c r="A98" t="s">
        <v>310</v>
      </c>
      <c r="B98" t="s">
        <v>46</v>
      </c>
      <c r="C98" t="s">
        <v>149</v>
      </c>
      <c r="D98">
        <v>671</v>
      </c>
      <c r="E98" t="s">
        <v>391</v>
      </c>
      <c r="F98" t="s">
        <v>25</v>
      </c>
      <c r="I98" t="s">
        <v>310</v>
      </c>
      <c r="J98" t="s">
        <v>310</v>
      </c>
      <c r="K98">
        <v>489</v>
      </c>
      <c r="L98" t="s">
        <v>36</v>
      </c>
      <c r="N98" t="s">
        <v>48</v>
      </c>
    </row>
    <row r="99" spans="1:15" x14ac:dyDescent="0.3">
      <c r="A99" t="s">
        <v>311</v>
      </c>
      <c r="B99" t="s">
        <v>46</v>
      </c>
      <c r="C99" t="s">
        <v>236</v>
      </c>
      <c r="D99">
        <v>77</v>
      </c>
      <c r="E99" t="s">
        <v>391</v>
      </c>
      <c r="F99" t="s">
        <v>25</v>
      </c>
      <c r="I99" t="s">
        <v>311</v>
      </c>
      <c r="J99" t="s">
        <v>311</v>
      </c>
      <c r="K99">
        <v>1240</v>
      </c>
      <c r="L99" t="s">
        <v>36</v>
      </c>
      <c r="N99" t="s">
        <v>48</v>
      </c>
    </row>
    <row r="100" spans="1:15" x14ac:dyDescent="0.3">
      <c r="A100" t="s">
        <v>311</v>
      </c>
      <c r="B100" t="s">
        <v>46</v>
      </c>
      <c r="C100" t="s">
        <v>23</v>
      </c>
      <c r="D100">
        <v>43</v>
      </c>
      <c r="E100" t="s">
        <v>391</v>
      </c>
      <c r="F100" t="s">
        <v>25</v>
      </c>
      <c r="I100" t="s">
        <v>311</v>
      </c>
      <c r="J100" t="s">
        <v>311</v>
      </c>
      <c r="K100">
        <v>1240</v>
      </c>
      <c r="L100" t="s">
        <v>36</v>
      </c>
      <c r="N100" t="s">
        <v>48</v>
      </c>
    </row>
    <row r="101" spans="1:15" x14ac:dyDescent="0.3">
      <c r="A101" t="s">
        <v>313</v>
      </c>
      <c r="B101" t="s">
        <v>46</v>
      </c>
      <c r="C101" t="s">
        <v>314</v>
      </c>
      <c r="D101">
        <v>15</v>
      </c>
      <c r="E101" t="s">
        <v>391</v>
      </c>
      <c r="F101" t="s">
        <v>25</v>
      </c>
      <c r="I101" t="s">
        <v>313</v>
      </c>
      <c r="J101" t="s">
        <v>313</v>
      </c>
      <c r="K101">
        <v>353</v>
      </c>
      <c r="L101" t="s">
        <v>36</v>
      </c>
      <c r="N101" t="s">
        <v>48</v>
      </c>
    </row>
    <row r="102" spans="1:15" x14ac:dyDescent="0.3">
      <c r="A102" t="s">
        <v>313</v>
      </c>
      <c r="B102" t="s">
        <v>46</v>
      </c>
      <c r="C102" t="s">
        <v>314</v>
      </c>
      <c r="D102">
        <v>16</v>
      </c>
      <c r="E102" t="s">
        <v>391</v>
      </c>
      <c r="F102" t="s">
        <v>25</v>
      </c>
      <c r="I102" t="s">
        <v>313</v>
      </c>
      <c r="J102" t="s">
        <v>313</v>
      </c>
      <c r="K102">
        <v>353</v>
      </c>
      <c r="L102" t="s">
        <v>36</v>
      </c>
      <c r="N102" t="s">
        <v>48</v>
      </c>
    </row>
    <row r="103" spans="1:15" x14ac:dyDescent="0.3">
      <c r="A103" t="s">
        <v>316</v>
      </c>
      <c r="B103" t="s">
        <v>46</v>
      </c>
      <c r="C103" t="s">
        <v>315</v>
      </c>
      <c r="D103">
        <v>253</v>
      </c>
      <c r="E103" t="s">
        <v>391</v>
      </c>
      <c r="F103" t="s">
        <v>25</v>
      </c>
      <c r="I103" t="s">
        <v>316</v>
      </c>
      <c r="J103" t="s">
        <v>316</v>
      </c>
      <c r="L103" t="s">
        <v>36</v>
      </c>
      <c r="N103" t="s">
        <v>34</v>
      </c>
    </row>
    <row r="104" spans="1:15" x14ac:dyDescent="0.3">
      <c r="A104" t="s">
        <v>316</v>
      </c>
      <c r="B104" t="s">
        <v>46</v>
      </c>
      <c r="C104" t="s">
        <v>315</v>
      </c>
      <c r="D104">
        <v>257</v>
      </c>
      <c r="E104" t="s">
        <v>391</v>
      </c>
      <c r="F104" t="s">
        <v>25</v>
      </c>
      <c r="I104" t="s">
        <v>316</v>
      </c>
      <c r="J104" t="s">
        <v>316</v>
      </c>
      <c r="L104" t="s">
        <v>36</v>
      </c>
      <c r="N104" t="s">
        <v>34</v>
      </c>
    </row>
    <row r="105" spans="1:15" x14ac:dyDescent="0.3">
      <c r="A105" t="s">
        <v>316</v>
      </c>
      <c r="B105" t="s">
        <v>46</v>
      </c>
      <c r="C105" t="s">
        <v>306</v>
      </c>
      <c r="D105">
        <v>16</v>
      </c>
      <c r="E105" t="s">
        <v>391</v>
      </c>
      <c r="F105" t="s">
        <v>37</v>
      </c>
      <c r="G105" t="s">
        <v>25</v>
      </c>
      <c r="I105" t="s">
        <v>316</v>
      </c>
      <c r="J105" t="s">
        <v>316</v>
      </c>
      <c r="L105" t="s">
        <v>36</v>
      </c>
      <c r="N105" t="s">
        <v>28</v>
      </c>
      <c r="O105" t="s">
        <v>305</v>
      </c>
    </row>
    <row r="106" spans="1:15" x14ac:dyDescent="0.3">
      <c r="A106" t="s">
        <v>316</v>
      </c>
      <c r="B106" t="s">
        <v>46</v>
      </c>
      <c r="C106" t="s">
        <v>306</v>
      </c>
      <c r="D106">
        <v>16</v>
      </c>
      <c r="E106" t="s">
        <v>391</v>
      </c>
      <c r="F106" t="s">
        <v>37</v>
      </c>
      <c r="G106" t="s">
        <v>25</v>
      </c>
      <c r="I106" t="s">
        <v>316</v>
      </c>
      <c r="J106" t="s">
        <v>316</v>
      </c>
      <c r="L106" t="s">
        <v>36</v>
      </c>
      <c r="N106" t="s">
        <v>28</v>
      </c>
      <c r="O106" t="s">
        <v>305</v>
      </c>
    </row>
    <row r="107" spans="1:15" x14ac:dyDescent="0.3">
      <c r="A107" t="s">
        <v>316</v>
      </c>
      <c r="B107" t="s">
        <v>46</v>
      </c>
      <c r="C107" t="s">
        <v>306</v>
      </c>
      <c r="D107">
        <v>20</v>
      </c>
      <c r="E107" t="s">
        <v>391</v>
      </c>
      <c r="F107" t="s">
        <v>37</v>
      </c>
      <c r="G107" t="s">
        <v>25</v>
      </c>
      <c r="I107" t="s">
        <v>316</v>
      </c>
      <c r="J107" t="s">
        <v>316</v>
      </c>
      <c r="L107" t="s">
        <v>36</v>
      </c>
      <c r="N107" t="s">
        <v>28</v>
      </c>
      <c r="O107" t="s">
        <v>305</v>
      </c>
    </row>
    <row r="108" spans="1:15" x14ac:dyDescent="0.3">
      <c r="A108" t="s">
        <v>316</v>
      </c>
      <c r="B108" t="s">
        <v>46</v>
      </c>
      <c r="C108" t="s">
        <v>306</v>
      </c>
      <c r="D108">
        <v>20</v>
      </c>
      <c r="E108" t="s">
        <v>391</v>
      </c>
      <c r="F108" t="s">
        <v>37</v>
      </c>
      <c r="G108" t="s">
        <v>25</v>
      </c>
      <c r="I108" t="s">
        <v>316</v>
      </c>
      <c r="J108" t="s">
        <v>316</v>
      </c>
      <c r="L108" t="s">
        <v>36</v>
      </c>
      <c r="N108" t="s">
        <v>28</v>
      </c>
      <c r="O108" t="s">
        <v>305</v>
      </c>
    </row>
    <row r="109" spans="1:15" x14ac:dyDescent="0.3">
      <c r="A109" t="s">
        <v>316</v>
      </c>
      <c r="B109" t="s">
        <v>46</v>
      </c>
      <c r="C109" t="s">
        <v>306</v>
      </c>
      <c r="D109">
        <v>28</v>
      </c>
      <c r="E109" t="s">
        <v>391</v>
      </c>
      <c r="F109" t="s">
        <v>37</v>
      </c>
      <c r="G109" t="s">
        <v>25</v>
      </c>
      <c r="I109" t="s">
        <v>316</v>
      </c>
      <c r="J109" t="s">
        <v>316</v>
      </c>
      <c r="L109" t="s">
        <v>36</v>
      </c>
      <c r="N109" t="s">
        <v>28</v>
      </c>
      <c r="O109" t="s">
        <v>305</v>
      </c>
    </row>
    <row r="110" spans="1:15" x14ac:dyDescent="0.3">
      <c r="A110" t="s">
        <v>317</v>
      </c>
      <c r="B110" t="s">
        <v>46</v>
      </c>
      <c r="C110" t="s">
        <v>283</v>
      </c>
      <c r="D110">
        <v>4</v>
      </c>
      <c r="E110" t="s">
        <v>391</v>
      </c>
      <c r="F110" t="s">
        <v>25</v>
      </c>
      <c r="I110" t="s">
        <v>317</v>
      </c>
      <c r="J110" t="s">
        <v>317</v>
      </c>
      <c r="K110">
        <v>506</v>
      </c>
      <c r="L110" t="s">
        <v>36</v>
      </c>
      <c r="N110" t="s">
        <v>45</v>
      </c>
    </row>
    <row r="111" spans="1:15" x14ac:dyDescent="0.3">
      <c r="A111" t="s">
        <v>317</v>
      </c>
      <c r="B111" t="s">
        <v>46</v>
      </c>
      <c r="C111" t="s">
        <v>283</v>
      </c>
      <c r="D111">
        <v>5</v>
      </c>
      <c r="E111" t="s">
        <v>391</v>
      </c>
      <c r="F111" t="s">
        <v>25</v>
      </c>
      <c r="I111" t="s">
        <v>317</v>
      </c>
      <c r="J111" t="s">
        <v>317</v>
      </c>
      <c r="K111">
        <v>506</v>
      </c>
      <c r="L111" t="s">
        <v>36</v>
      </c>
      <c r="N111" t="s">
        <v>45</v>
      </c>
    </row>
    <row r="112" spans="1:15" x14ac:dyDescent="0.3">
      <c r="A112" t="s">
        <v>317</v>
      </c>
      <c r="B112" t="s">
        <v>46</v>
      </c>
      <c r="C112" t="s">
        <v>283</v>
      </c>
      <c r="D112">
        <v>19</v>
      </c>
      <c r="E112" t="s">
        <v>391</v>
      </c>
      <c r="F112" t="s">
        <v>25</v>
      </c>
      <c r="I112" t="s">
        <v>317</v>
      </c>
      <c r="J112" t="s">
        <v>317</v>
      </c>
      <c r="K112">
        <v>506</v>
      </c>
      <c r="L112" t="s">
        <v>36</v>
      </c>
      <c r="N112" t="s">
        <v>45</v>
      </c>
    </row>
    <row r="113" spans="1:15" x14ac:dyDescent="0.3">
      <c r="A113" t="s">
        <v>55</v>
      </c>
      <c r="B113" t="s">
        <v>22</v>
      </c>
      <c r="C113" t="s">
        <v>176</v>
      </c>
      <c r="D113">
        <v>121</v>
      </c>
      <c r="E113" t="s">
        <v>391</v>
      </c>
      <c r="F113" t="s">
        <v>25</v>
      </c>
      <c r="I113" t="s">
        <v>55</v>
      </c>
      <c r="J113" t="s">
        <v>55</v>
      </c>
      <c r="K113">
        <v>79</v>
      </c>
      <c r="L113" t="s">
        <v>36</v>
      </c>
      <c r="N113" t="s">
        <v>48</v>
      </c>
    </row>
    <row r="114" spans="1:15" x14ac:dyDescent="0.3">
      <c r="A114" t="s">
        <v>55</v>
      </c>
      <c r="B114" t="s">
        <v>22</v>
      </c>
      <c r="C114" t="s">
        <v>145</v>
      </c>
      <c r="D114">
        <v>57</v>
      </c>
      <c r="E114" t="s">
        <v>391</v>
      </c>
      <c r="F114" t="s">
        <v>25</v>
      </c>
      <c r="I114" t="s">
        <v>55</v>
      </c>
      <c r="J114" t="s">
        <v>55</v>
      </c>
      <c r="K114">
        <v>79</v>
      </c>
      <c r="L114" t="s">
        <v>36</v>
      </c>
      <c r="N114" t="s">
        <v>48</v>
      </c>
    </row>
    <row r="115" spans="1:15" x14ac:dyDescent="0.3">
      <c r="A115" t="s">
        <v>55</v>
      </c>
      <c r="B115" t="s">
        <v>22</v>
      </c>
      <c r="C115" t="s">
        <v>145</v>
      </c>
      <c r="D115">
        <v>75</v>
      </c>
      <c r="E115" t="s">
        <v>391</v>
      </c>
      <c r="F115" t="s">
        <v>25</v>
      </c>
      <c r="I115" t="s">
        <v>55</v>
      </c>
      <c r="J115" t="s">
        <v>55</v>
      </c>
      <c r="K115">
        <v>79</v>
      </c>
      <c r="L115" t="s">
        <v>36</v>
      </c>
      <c r="N115" t="s">
        <v>48</v>
      </c>
    </row>
    <row r="116" spans="1:15" x14ac:dyDescent="0.3">
      <c r="A116" t="s">
        <v>55</v>
      </c>
      <c r="B116" t="s">
        <v>22</v>
      </c>
      <c r="C116" t="s">
        <v>142</v>
      </c>
      <c r="D116">
        <v>55</v>
      </c>
      <c r="E116" t="s">
        <v>391</v>
      </c>
      <c r="F116" t="s">
        <v>25</v>
      </c>
      <c r="I116" t="s">
        <v>55</v>
      </c>
      <c r="J116" t="s">
        <v>55</v>
      </c>
      <c r="K116">
        <v>79</v>
      </c>
      <c r="L116" t="s">
        <v>36</v>
      </c>
      <c r="N116" t="s">
        <v>48</v>
      </c>
    </row>
    <row r="117" spans="1:15" x14ac:dyDescent="0.3">
      <c r="A117" t="s">
        <v>55</v>
      </c>
      <c r="B117" t="s">
        <v>22</v>
      </c>
      <c r="C117" t="s">
        <v>172</v>
      </c>
      <c r="D117">
        <v>38</v>
      </c>
      <c r="E117" t="s">
        <v>391</v>
      </c>
      <c r="F117" t="s">
        <v>25</v>
      </c>
      <c r="I117" t="s">
        <v>55</v>
      </c>
      <c r="J117" t="s">
        <v>55</v>
      </c>
      <c r="K117">
        <v>79</v>
      </c>
      <c r="L117" t="s">
        <v>36</v>
      </c>
      <c r="N117" t="s">
        <v>48</v>
      </c>
    </row>
    <row r="118" spans="1:15" x14ac:dyDescent="0.3">
      <c r="A118" t="s">
        <v>55</v>
      </c>
      <c r="B118" t="s">
        <v>22</v>
      </c>
      <c r="C118" t="s">
        <v>88</v>
      </c>
      <c r="D118">
        <v>161</v>
      </c>
      <c r="E118" t="s">
        <v>391</v>
      </c>
      <c r="F118" t="s">
        <v>25</v>
      </c>
      <c r="I118" t="s">
        <v>55</v>
      </c>
      <c r="J118" t="s">
        <v>55</v>
      </c>
      <c r="K118">
        <v>79</v>
      </c>
      <c r="L118" t="s">
        <v>36</v>
      </c>
      <c r="N118" t="s">
        <v>48</v>
      </c>
    </row>
    <row r="119" spans="1:15" x14ac:dyDescent="0.3">
      <c r="A119" t="s">
        <v>55</v>
      </c>
      <c r="B119" t="s">
        <v>22</v>
      </c>
      <c r="C119" t="s">
        <v>174</v>
      </c>
      <c r="D119">
        <v>45</v>
      </c>
      <c r="E119" t="s">
        <v>391</v>
      </c>
      <c r="F119" t="s">
        <v>25</v>
      </c>
      <c r="I119" t="s">
        <v>55</v>
      </c>
      <c r="J119" t="s">
        <v>55</v>
      </c>
      <c r="K119">
        <v>79</v>
      </c>
      <c r="L119" t="s">
        <v>36</v>
      </c>
      <c r="N119" t="s">
        <v>48</v>
      </c>
    </row>
    <row r="120" spans="1:15" x14ac:dyDescent="0.3">
      <c r="A120" t="s">
        <v>133</v>
      </c>
      <c r="B120" t="s">
        <v>22</v>
      </c>
      <c r="C120" t="s">
        <v>178</v>
      </c>
      <c r="D120">
        <v>19</v>
      </c>
      <c r="E120" t="s">
        <v>391</v>
      </c>
      <c r="F120" t="s">
        <v>37</v>
      </c>
      <c r="G120" t="s">
        <v>25</v>
      </c>
      <c r="I120" t="s">
        <v>133</v>
      </c>
      <c r="J120" t="s">
        <v>133</v>
      </c>
      <c r="K120">
        <v>259</v>
      </c>
      <c r="L120" t="s">
        <v>36</v>
      </c>
      <c r="M120" t="s">
        <v>25</v>
      </c>
      <c r="N120" t="s">
        <v>180</v>
      </c>
      <c r="O120" t="s">
        <v>181</v>
      </c>
    </row>
    <row r="121" spans="1:15" x14ac:dyDescent="0.3">
      <c r="A121" t="s">
        <v>133</v>
      </c>
      <c r="B121" t="s">
        <v>22</v>
      </c>
      <c r="C121" s="6" t="s">
        <v>182</v>
      </c>
      <c r="D121">
        <v>20</v>
      </c>
      <c r="E121" t="s">
        <v>391</v>
      </c>
      <c r="F121" t="s">
        <v>37</v>
      </c>
      <c r="G121" t="s">
        <v>25</v>
      </c>
      <c r="I121" t="s">
        <v>133</v>
      </c>
      <c r="J121" t="s">
        <v>133</v>
      </c>
      <c r="K121">
        <v>259</v>
      </c>
      <c r="L121" t="s">
        <v>36</v>
      </c>
      <c r="M121" t="s">
        <v>25</v>
      </c>
      <c r="N121" t="s">
        <v>180</v>
      </c>
      <c r="O121" t="s">
        <v>181</v>
      </c>
    </row>
    <row r="122" spans="1:15" x14ac:dyDescent="0.3">
      <c r="A122" t="s">
        <v>133</v>
      </c>
      <c r="B122" t="s">
        <v>22</v>
      </c>
      <c r="C122" t="s">
        <v>184</v>
      </c>
      <c r="D122">
        <v>21</v>
      </c>
      <c r="E122" t="s">
        <v>391</v>
      </c>
      <c r="F122" t="s">
        <v>37</v>
      </c>
      <c r="G122" t="s">
        <v>25</v>
      </c>
      <c r="I122" t="s">
        <v>133</v>
      </c>
      <c r="J122" t="s">
        <v>133</v>
      </c>
      <c r="K122">
        <v>259</v>
      </c>
      <c r="L122" t="s">
        <v>36</v>
      </c>
      <c r="M122" t="s">
        <v>25</v>
      </c>
      <c r="N122" t="s">
        <v>180</v>
      </c>
      <c r="O122" t="s">
        <v>181</v>
      </c>
    </row>
    <row r="123" spans="1:15" x14ac:dyDescent="0.3">
      <c r="A123" t="s">
        <v>133</v>
      </c>
      <c r="B123" t="s">
        <v>22</v>
      </c>
      <c r="C123" t="s">
        <v>185</v>
      </c>
      <c r="D123">
        <v>20</v>
      </c>
      <c r="E123" t="s">
        <v>391</v>
      </c>
      <c r="F123" t="s">
        <v>37</v>
      </c>
      <c r="G123" t="s">
        <v>25</v>
      </c>
      <c r="I123" t="s">
        <v>133</v>
      </c>
      <c r="J123" t="s">
        <v>133</v>
      </c>
      <c r="K123">
        <v>259</v>
      </c>
      <c r="L123" t="s">
        <v>36</v>
      </c>
      <c r="M123" t="s">
        <v>25</v>
      </c>
      <c r="N123" t="s">
        <v>180</v>
      </c>
      <c r="O123" t="s">
        <v>181</v>
      </c>
    </row>
    <row r="124" spans="1:15" x14ac:dyDescent="0.3">
      <c r="A124" t="s">
        <v>133</v>
      </c>
      <c r="B124" t="s">
        <v>22</v>
      </c>
      <c r="C124" t="s">
        <v>190</v>
      </c>
      <c r="D124">
        <v>3</v>
      </c>
      <c r="E124" t="s">
        <v>391</v>
      </c>
      <c r="F124" t="s">
        <v>37</v>
      </c>
      <c r="G124" t="s">
        <v>25</v>
      </c>
      <c r="I124" t="s">
        <v>133</v>
      </c>
      <c r="J124" t="s">
        <v>133</v>
      </c>
      <c r="K124">
        <v>259</v>
      </c>
      <c r="L124" t="s">
        <v>36</v>
      </c>
      <c r="M124" t="s">
        <v>25</v>
      </c>
      <c r="N124" t="s">
        <v>180</v>
      </c>
      <c r="O124" t="s">
        <v>181</v>
      </c>
    </row>
    <row r="125" spans="1:15" x14ac:dyDescent="0.3">
      <c r="A125" t="s">
        <v>133</v>
      </c>
      <c r="B125" t="s">
        <v>22</v>
      </c>
      <c r="C125" t="s">
        <v>191</v>
      </c>
      <c r="D125">
        <v>21</v>
      </c>
      <c r="E125" t="s">
        <v>391</v>
      </c>
      <c r="F125" t="s">
        <v>37</v>
      </c>
      <c r="G125" t="s">
        <v>25</v>
      </c>
      <c r="I125" t="s">
        <v>133</v>
      </c>
      <c r="J125" t="s">
        <v>133</v>
      </c>
      <c r="K125">
        <v>259</v>
      </c>
      <c r="L125" t="s">
        <v>36</v>
      </c>
      <c r="M125" t="s">
        <v>25</v>
      </c>
      <c r="N125" t="s">
        <v>180</v>
      </c>
      <c r="O125" t="s">
        <v>181</v>
      </c>
    </row>
    <row r="126" spans="1:15" x14ac:dyDescent="0.3">
      <c r="A126" t="s">
        <v>133</v>
      </c>
      <c r="B126" t="s">
        <v>22</v>
      </c>
      <c r="C126" t="s">
        <v>193</v>
      </c>
      <c r="D126">
        <v>4</v>
      </c>
      <c r="E126" t="s">
        <v>391</v>
      </c>
      <c r="F126" t="s">
        <v>37</v>
      </c>
      <c r="G126" t="s">
        <v>25</v>
      </c>
      <c r="I126" t="s">
        <v>133</v>
      </c>
      <c r="J126" t="s">
        <v>133</v>
      </c>
      <c r="K126">
        <v>259</v>
      </c>
      <c r="L126" t="s">
        <v>36</v>
      </c>
      <c r="M126" t="s">
        <v>25</v>
      </c>
      <c r="N126" t="s">
        <v>180</v>
      </c>
      <c r="O126" t="s">
        <v>181</v>
      </c>
    </row>
    <row r="127" spans="1:15" x14ac:dyDescent="0.3">
      <c r="A127" t="s">
        <v>133</v>
      </c>
      <c r="B127" t="s">
        <v>22</v>
      </c>
      <c r="C127" t="s">
        <v>194</v>
      </c>
      <c r="D127">
        <v>3</v>
      </c>
      <c r="E127" t="s">
        <v>391</v>
      </c>
      <c r="F127" t="s">
        <v>37</v>
      </c>
      <c r="G127" t="s">
        <v>25</v>
      </c>
      <c r="I127" t="s">
        <v>133</v>
      </c>
      <c r="J127" t="s">
        <v>133</v>
      </c>
      <c r="K127">
        <v>259</v>
      </c>
      <c r="L127" t="s">
        <v>36</v>
      </c>
      <c r="M127" t="s">
        <v>25</v>
      </c>
      <c r="N127" t="s">
        <v>180</v>
      </c>
      <c r="O127" t="s">
        <v>181</v>
      </c>
    </row>
    <row r="128" spans="1:15" x14ac:dyDescent="0.3">
      <c r="A128" t="s">
        <v>133</v>
      </c>
      <c r="B128" t="s">
        <v>22</v>
      </c>
      <c r="C128" t="s">
        <v>197</v>
      </c>
      <c r="D128">
        <v>3</v>
      </c>
      <c r="E128" t="s">
        <v>391</v>
      </c>
      <c r="F128" t="s">
        <v>37</v>
      </c>
      <c r="G128" t="s">
        <v>25</v>
      </c>
      <c r="I128" t="s">
        <v>133</v>
      </c>
      <c r="J128" t="s">
        <v>133</v>
      </c>
      <c r="K128">
        <v>259</v>
      </c>
      <c r="L128" t="s">
        <v>36</v>
      </c>
      <c r="M128" t="s">
        <v>25</v>
      </c>
      <c r="N128" t="s">
        <v>180</v>
      </c>
      <c r="O128" t="s">
        <v>181</v>
      </c>
    </row>
    <row r="129" spans="1:15" x14ac:dyDescent="0.3">
      <c r="A129" t="s">
        <v>133</v>
      </c>
      <c r="B129" t="s">
        <v>22</v>
      </c>
      <c r="C129" t="s">
        <v>198</v>
      </c>
      <c r="D129">
        <v>20</v>
      </c>
      <c r="E129" t="s">
        <v>391</v>
      </c>
      <c r="F129" t="s">
        <v>37</v>
      </c>
      <c r="G129" t="s">
        <v>25</v>
      </c>
      <c r="I129" t="s">
        <v>133</v>
      </c>
      <c r="J129" t="s">
        <v>133</v>
      </c>
      <c r="K129">
        <v>259</v>
      </c>
      <c r="L129" t="s">
        <v>36</v>
      </c>
      <c r="M129" t="s">
        <v>25</v>
      </c>
      <c r="N129" t="s">
        <v>180</v>
      </c>
      <c r="O129" t="s">
        <v>181</v>
      </c>
    </row>
    <row r="130" spans="1:15" x14ac:dyDescent="0.3">
      <c r="A130" t="s">
        <v>133</v>
      </c>
      <c r="B130" t="s">
        <v>22</v>
      </c>
      <c r="C130" t="s">
        <v>198</v>
      </c>
      <c r="D130">
        <v>29</v>
      </c>
      <c r="E130" t="s">
        <v>391</v>
      </c>
      <c r="F130" t="s">
        <v>37</v>
      </c>
      <c r="G130" t="s">
        <v>25</v>
      </c>
      <c r="I130" t="s">
        <v>133</v>
      </c>
      <c r="J130" t="s">
        <v>133</v>
      </c>
      <c r="K130">
        <v>259</v>
      </c>
      <c r="L130" t="s">
        <v>36</v>
      </c>
      <c r="M130" t="s">
        <v>25</v>
      </c>
      <c r="N130" t="s">
        <v>180</v>
      </c>
      <c r="O130" t="s">
        <v>181</v>
      </c>
    </row>
    <row r="131" spans="1:15" x14ac:dyDescent="0.3">
      <c r="A131" t="s">
        <v>133</v>
      </c>
      <c r="B131" t="s">
        <v>22</v>
      </c>
      <c r="C131" t="s">
        <v>198</v>
      </c>
      <c r="D131">
        <v>47</v>
      </c>
      <c r="E131" t="s">
        <v>391</v>
      </c>
      <c r="F131" t="s">
        <v>37</v>
      </c>
      <c r="G131" t="s">
        <v>25</v>
      </c>
      <c r="I131" t="s">
        <v>133</v>
      </c>
      <c r="J131" t="s">
        <v>133</v>
      </c>
      <c r="K131">
        <v>259</v>
      </c>
      <c r="L131" t="s">
        <v>36</v>
      </c>
      <c r="M131" t="s">
        <v>25</v>
      </c>
      <c r="N131" t="s">
        <v>180</v>
      </c>
      <c r="O131" t="s">
        <v>181</v>
      </c>
    </row>
    <row r="132" spans="1:15" x14ac:dyDescent="0.3">
      <c r="A132" t="s">
        <v>133</v>
      </c>
      <c r="B132" t="s">
        <v>22</v>
      </c>
      <c r="C132" t="s">
        <v>200</v>
      </c>
      <c r="D132">
        <v>4</v>
      </c>
      <c r="E132" t="s">
        <v>391</v>
      </c>
      <c r="F132" t="s">
        <v>37</v>
      </c>
      <c r="G132" t="s">
        <v>25</v>
      </c>
      <c r="I132" t="s">
        <v>133</v>
      </c>
      <c r="J132" t="s">
        <v>133</v>
      </c>
      <c r="K132">
        <v>259</v>
      </c>
      <c r="L132" t="s">
        <v>36</v>
      </c>
      <c r="M132" t="s">
        <v>25</v>
      </c>
      <c r="N132" t="s">
        <v>180</v>
      </c>
      <c r="O132" t="s">
        <v>181</v>
      </c>
    </row>
    <row r="133" spans="1:15" x14ac:dyDescent="0.3">
      <c r="A133" t="s">
        <v>133</v>
      </c>
      <c r="B133" t="s">
        <v>22</v>
      </c>
      <c r="C133" t="s">
        <v>200</v>
      </c>
      <c r="D133">
        <v>76</v>
      </c>
      <c r="E133" t="s">
        <v>391</v>
      </c>
      <c r="F133" t="s">
        <v>37</v>
      </c>
      <c r="G133" t="s">
        <v>25</v>
      </c>
      <c r="I133" t="s">
        <v>133</v>
      </c>
      <c r="J133" t="s">
        <v>133</v>
      </c>
      <c r="K133">
        <v>259</v>
      </c>
      <c r="L133" t="s">
        <v>36</v>
      </c>
      <c r="M133" t="s">
        <v>25</v>
      </c>
      <c r="N133" t="s">
        <v>180</v>
      </c>
      <c r="O133" t="s">
        <v>181</v>
      </c>
    </row>
    <row r="134" spans="1:15" x14ac:dyDescent="0.3">
      <c r="A134" t="s">
        <v>133</v>
      </c>
      <c r="B134" t="s">
        <v>22</v>
      </c>
      <c r="C134" t="s">
        <v>201</v>
      </c>
      <c r="D134">
        <v>84</v>
      </c>
      <c r="E134" t="s">
        <v>391</v>
      </c>
      <c r="F134" t="s">
        <v>37</v>
      </c>
      <c r="G134" t="s">
        <v>25</v>
      </c>
      <c r="I134" t="s">
        <v>133</v>
      </c>
      <c r="J134" t="s">
        <v>133</v>
      </c>
      <c r="K134">
        <v>259</v>
      </c>
      <c r="L134" t="s">
        <v>36</v>
      </c>
      <c r="M134" t="s">
        <v>25</v>
      </c>
      <c r="N134" t="s">
        <v>180</v>
      </c>
      <c r="O134" t="s">
        <v>181</v>
      </c>
    </row>
    <row r="135" spans="1:15" x14ac:dyDescent="0.3">
      <c r="A135" t="s">
        <v>133</v>
      </c>
      <c r="B135" t="s">
        <v>22</v>
      </c>
      <c r="C135" t="s">
        <v>201</v>
      </c>
      <c r="D135">
        <v>10</v>
      </c>
      <c r="E135" t="s">
        <v>391</v>
      </c>
      <c r="F135" t="s">
        <v>37</v>
      </c>
      <c r="G135" t="s">
        <v>25</v>
      </c>
      <c r="I135" t="s">
        <v>133</v>
      </c>
      <c r="J135" t="s">
        <v>133</v>
      </c>
      <c r="K135">
        <v>259</v>
      </c>
      <c r="L135" t="s">
        <v>36</v>
      </c>
      <c r="M135" t="s">
        <v>25</v>
      </c>
      <c r="N135" t="s">
        <v>180</v>
      </c>
      <c r="O135" t="s">
        <v>181</v>
      </c>
    </row>
    <row r="136" spans="1:15" x14ac:dyDescent="0.3">
      <c r="A136" t="s">
        <v>133</v>
      </c>
      <c r="B136" t="s">
        <v>22</v>
      </c>
      <c r="C136" t="s">
        <v>202</v>
      </c>
      <c r="D136">
        <v>8</v>
      </c>
      <c r="E136" t="s">
        <v>391</v>
      </c>
      <c r="F136" t="s">
        <v>37</v>
      </c>
      <c r="G136" t="s">
        <v>25</v>
      </c>
      <c r="I136" t="s">
        <v>133</v>
      </c>
      <c r="J136" t="s">
        <v>133</v>
      </c>
      <c r="K136">
        <v>259</v>
      </c>
      <c r="L136" t="s">
        <v>36</v>
      </c>
      <c r="M136" t="s">
        <v>25</v>
      </c>
      <c r="N136" t="s">
        <v>180</v>
      </c>
      <c r="O136" t="s">
        <v>181</v>
      </c>
    </row>
    <row r="137" spans="1:15" x14ac:dyDescent="0.3">
      <c r="A137" t="s">
        <v>133</v>
      </c>
      <c r="B137" t="s">
        <v>22</v>
      </c>
      <c r="C137" t="s">
        <v>202</v>
      </c>
      <c r="D137">
        <v>53</v>
      </c>
      <c r="E137" t="s">
        <v>391</v>
      </c>
      <c r="F137" t="s">
        <v>37</v>
      </c>
      <c r="G137" t="s">
        <v>25</v>
      </c>
      <c r="I137" t="s">
        <v>133</v>
      </c>
      <c r="J137" t="s">
        <v>133</v>
      </c>
      <c r="K137">
        <v>259</v>
      </c>
      <c r="L137" t="s">
        <v>36</v>
      </c>
      <c r="M137" t="s">
        <v>25</v>
      </c>
      <c r="N137" t="s">
        <v>180</v>
      </c>
      <c r="O137" t="s">
        <v>181</v>
      </c>
    </row>
    <row r="138" spans="1:15" x14ac:dyDescent="0.3">
      <c r="A138" t="s">
        <v>133</v>
      </c>
      <c r="B138" t="s">
        <v>22</v>
      </c>
      <c r="C138" t="s">
        <v>203</v>
      </c>
      <c r="D138">
        <v>6</v>
      </c>
      <c r="E138" t="s">
        <v>391</v>
      </c>
      <c r="F138" t="s">
        <v>37</v>
      </c>
      <c r="G138" t="s">
        <v>25</v>
      </c>
      <c r="I138" t="s">
        <v>133</v>
      </c>
      <c r="J138" t="s">
        <v>133</v>
      </c>
      <c r="K138">
        <v>259</v>
      </c>
      <c r="L138" t="s">
        <v>36</v>
      </c>
      <c r="M138" t="s">
        <v>25</v>
      </c>
      <c r="N138" t="s">
        <v>180</v>
      </c>
      <c r="O138" t="s">
        <v>181</v>
      </c>
    </row>
    <row r="139" spans="1:15" x14ac:dyDescent="0.3">
      <c r="A139" t="s">
        <v>133</v>
      </c>
      <c r="B139" t="s">
        <v>22</v>
      </c>
      <c r="C139" t="s">
        <v>203</v>
      </c>
      <c r="D139">
        <v>37</v>
      </c>
      <c r="E139" t="s">
        <v>391</v>
      </c>
      <c r="F139" t="s">
        <v>37</v>
      </c>
      <c r="G139" t="s">
        <v>25</v>
      </c>
      <c r="I139" t="s">
        <v>133</v>
      </c>
      <c r="J139" t="s">
        <v>133</v>
      </c>
      <c r="K139">
        <v>259</v>
      </c>
      <c r="L139" t="s">
        <v>36</v>
      </c>
      <c r="M139" t="s">
        <v>25</v>
      </c>
      <c r="N139" t="s">
        <v>180</v>
      </c>
      <c r="O139" t="s">
        <v>181</v>
      </c>
    </row>
    <row r="140" spans="1:15" x14ac:dyDescent="0.3">
      <c r="A140" t="s">
        <v>133</v>
      </c>
      <c r="B140" t="s">
        <v>22</v>
      </c>
      <c r="C140" t="s">
        <v>204</v>
      </c>
      <c r="D140">
        <v>5</v>
      </c>
      <c r="E140" t="s">
        <v>391</v>
      </c>
      <c r="F140" t="s">
        <v>37</v>
      </c>
      <c r="G140" t="s">
        <v>25</v>
      </c>
      <c r="I140" t="s">
        <v>133</v>
      </c>
      <c r="J140" t="s">
        <v>133</v>
      </c>
      <c r="K140">
        <v>259</v>
      </c>
      <c r="L140" t="s">
        <v>36</v>
      </c>
      <c r="M140" t="s">
        <v>25</v>
      </c>
      <c r="N140" t="s">
        <v>180</v>
      </c>
      <c r="O140" t="s">
        <v>181</v>
      </c>
    </row>
    <row r="141" spans="1:15" x14ac:dyDescent="0.3">
      <c r="A141" t="s">
        <v>133</v>
      </c>
      <c r="B141" t="s">
        <v>22</v>
      </c>
      <c r="C141" t="s">
        <v>205</v>
      </c>
      <c r="D141">
        <v>45</v>
      </c>
      <c r="E141" t="s">
        <v>391</v>
      </c>
      <c r="F141" t="s">
        <v>37</v>
      </c>
      <c r="G141" t="s">
        <v>25</v>
      </c>
      <c r="I141" t="s">
        <v>133</v>
      </c>
      <c r="J141" t="s">
        <v>133</v>
      </c>
      <c r="K141">
        <v>259</v>
      </c>
      <c r="L141" t="s">
        <v>36</v>
      </c>
      <c r="M141" t="s">
        <v>25</v>
      </c>
      <c r="N141" t="s">
        <v>180</v>
      </c>
      <c r="O141" t="s">
        <v>181</v>
      </c>
    </row>
    <row r="142" spans="1:15" x14ac:dyDescent="0.3">
      <c r="A142" t="s">
        <v>133</v>
      </c>
      <c r="B142" t="s">
        <v>22</v>
      </c>
      <c r="C142" t="s">
        <v>205</v>
      </c>
      <c r="D142">
        <v>63</v>
      </c>
      <c r="E142" t="s">
        <v>391</v>
      </c>
      <c r="F142" t="s">
        <v>37</v>
      </c>
      <c r="G142" t="s">
        <v>25</v>
      </c>
      <c r="I142" t="s">
        <v>133</v>
      </c>
      <c r="J142" t="s">
        <v>133</v>
      </c>
      <c r="K142">
        <v>259</v>
      </c>
      <c r="L142" t="s">
        <v>36</v>
      </c>
      <c r="M142" t="s">
        <v>25</v>
      </c>
      <c r="N142" t="s">
        <v>180</v>
      </c>
      <c r="O142" t="s">
        <v>181</v>
      </c>
    </row>
    <row r="143" spans="1:15" x14ac:dyDescent="0.3">
      <c r="A143" t="s">
        <v>133</v>
      </c>
      <c r="B143" t="s">
        <v>22</v>
      </c>
      <c r="C143" t="s">
        <v>205</v>
      </c>
      <c r="D143">
        <v>139</v>
      </c>
      <c r="E143" t="s">
        <v>391</v>
      </c>
      <c r="F143" t="s">
        <v>37</v>
      </c>
      <c r="G143" t="s">
        <v>25</v>
      </c>
      <c r="I143" t="s">
        <v>133</v>
      </c>
      <c r="J143" t="s">
        <v>133</v>
      </c>
      <c r="K143">
        <v>259</v>
      </c>
      <c r="L143" t="s">
        <v>36</v>
      </c>
      <c r="M143" t="s">
        <v>25</v>
      </c>
      <c r="N143" t="s">
        <v>180</v>
      </c>
      <c r="O143" t="s">
        <v>181</v>
      </c>
    </row>
    <row r="144" spans="1:15" x14ac:dyDescent="0.3">
      <c r="A144" t="s">
        <v>133</v>
      </c>
      <c r="B144" t="s">
        <v>22</v>
      </c>
      <c r="C144" t="s">
        <v>205</v>
      </c>
      <c r="D144">
        <v>161</v>
      </c>
      <c r="E144" t="s">
        <v>391</v>
      </c>
      <c r="F144" t="s">
        <v>37</v>
      </c>
      <c r="G144" t="s">
        <v>25</v>
      </c>
      <c r="I144" t="s">
        <v>133</v>
      </c>
      <c r="J144" t="s">
        <v>133</v>
      </c>
      <c r="K144">
        <v>259</v>
      </c>
      <c r="L144" t="s">
        <v>36</v>
      </c>
      <c r="M144" t="s">
        <v>25</v>
      </c>
      <c r="N144" t="s">
        <v>180</v>
      </c>
      <c r="O144" t="s">
        <v>181</v>
      </c>
    </row>
    <row r="145" spans="1:15" x14ac:dyDescent="0.3">
      <c r="A145" t="s">
        <v>133</v>
      </c>
      <c r="B145" t="s">
        <v>22</v>
      </c>
      <c r="C145" t="s">
        <v>205</v>
      </c>
      <c r="D145">
        <v>183</v>
      </c>
      <c r="E145" t="s">
        <v>391</v>
      </c>
      <c r="F145" t="s">
        <v>37</v>
      </c>
      <c r="G145" t="s">
        <v>25</v>
      </c>
      <c r="I145" t="s">
        <v>133</v>
      </c>
      <c r="J145" t="s">
        <v>133</v>
      </c>
      <c r="K145">
        <v>259</v>
      </c>
      <c r="L145" t="s">
        <v>36</v>
      </c>
      <c r="M145" t="s">
        <v>25</v>
      </c>
      <c r="N145" t="s">
        <v>180</v>
      </c>
      <c r="O145" t="s">
        <v>181</v>
      </c>
    </row>
    <row r="146" spans="1:15" x14ac:dyDescent="0.3">
      <c r="A146" t="s">
        <v>133</v>
      </c>
      <c r="B146" t="s">
        <v>22</v>
      </c>
      <c r="C146" t="s">
        <v>205</v>
      </c>
      <c r="D146">
        <v>202</v>
      </c>
      <c r="E146" t="s">
        <v>391</v>
      </c>
      <c r="F146" t="s">
        <v>37</v>
      </c>
      <c r="G146" t="s">
        <v>25</v>
      </c>
      <c r="I146" t="s">
        <v>133</v>
      </c>
      <c r="J146" t="s">
        <v>133</v>
      </c>
      <c r="K146">
        <v>259</v>
      </c>
      <c r="L146" t="s">
        <v>36</v>
      </c>
      <c r="M146" t="s">
        <v>25</v>
      </c>
      <c r="N146" t="s">
        <v>180</v>
      </c>
      <c r="O146" t="s">
        <v>181</v>
      </c>
    </row>
    <row r="147" spans="1:15" x14ac:dyDescent="0.3">
      <c r="A147" t="s">
        <v>133</v>
      </c>
      <c r="B147" t="s">
        <v>22</v>
      </c>
      <c r="C147" t="s">
        <v>205</v>
      </c>
      <c r="D147">
        <v>256</v>
      </c>
      <c r="E147" t="s">
        <v>391</v>
      </c>
      <c r="F147" t="s">
        <v>37</v>
      </c>
      <c r="G147" t="s">
        <v>25</v>
      </c>
      <c r="I147" t="s">
        <v>133</v>
      </c>
      <c r="J147" t="s">
        <v>133</v>
      </c>
      <c r="K147">
        <v>259</v>
      </c>
      <c r="L147" t="s">
        <v>36</v>
      </c>
      <c r="M147" t="s">
        <v>25</v>
      </c>
      <c r="N147" t="s">
        <v>180</v>
      </c>
      <c r="O147" t="s">
        <v>181</v>
      </c>
    </row>
    <row r="148" spans="1:15" x14ac:dyDescent="0.3">
      <c r="A148" t="s">
        <v>133</v>
      </c>
      <c r="B148" t="s">
        <v>22</v>
      </c>
      <c r="C148" t="s">
        <v>206</v>
      </c>
      <c r="D148">
        <v>25</v>
      </c>
      <c r="E148" t="s">
        <v>391</v>
      </c>
      <c r="F148" t="s">
        <v>37</v>
      </c>
      <c r="G148" t="s">
        <v>25</v>
      </c>
      <c r="I148" t="s">
        <v>133</v>
      </c>
      <c r="J148" t="s">
        <v>133</v>
      </c>
      <c r="K148">
        <v>259</v>
      </c>
      <c r="L148" t="s">
        <v>36</v>
      </c>
      <c r="M148" t="s">
        <v>25</v>
      </c>
      <c r="N148" t="s">
        <v>180</v>
      </c>
      <c r="O148" t="s">
        <v>181</v>
      </c>
    </row>
    <row r="149" spans="1:15" x14ac:dyDescent="0.3">
      <c r="A149" t="s">
        <v>133</v>
      </c>
      <c r="B149" t="s">
        <v>22</v>
      </c>
      <c r="C149" t="s">
        <v>206</v>
      </c>
      <c r="D149">
        <v>52</v>
      </c>
      <c r="E149" t="s">
        <v>391</v>
      </c>
      <c r="F149" t="s">
        <v>37</v>
      </c>
      <c r="G149" t="s">
        <v>25</v>
      </c>
      <c r="I149" t="s">
        <v>133</v>
      </c>
      <c r="J149" t="s">
        <v>133</v>
      </c>
      <c r="K149">
        <v>259</v>
      </c>
      <c r="L149" t="s">
        <v>36</v>
      </c>
      <c r="M149" t="s">
        <v>25</v>
      </c>
      <c r="N149" t="s">
        <v>180</v>
      </c>
      <c r="O149" t="s">
        <v>181</v>
      </c>
    </row>
    <row r="150" spans="1:15" x14ac:dyDescent="0.3">
      <c r="A150" t="s">
        <v>133</v>
      </c>
      <c r="B150" t="s">
        <v>22</v>
      </c>
      <c r="C150" t="s">
        <v>206</v>
      </c>
      <c r="D150">
        <v>97</v>
      </c>
      <c r="E150" t="s">
        <v>391</v>
      </c>
      <c r="F150" t="s">
        <v>37</v>
      </c>
      <c r="G150" t="s">
        <v>25</v>
      </c>
      <c r="I150" t="s">
        <v>133</v>
      </c>
      <c r="J150" t="s">
        <v>133</v>
      </c>
      <c r="K150">
        <v>259</v>
      </c>
      <c r="L150" t="s">
        <v>36</v>
      </c>
      <c r="M150" t="s">
        <v>25</v>
      </c>
      <c r="N150" t="s">
        <v>180</v>
      </c>
      <c r="O150" t="s">
        <v>181</v>
      </c>
    </row>
    <row r="151" spans="1:15" x14ac:dyDescent="0.3">
      <c r="A151" t="s">
        <v>133</v>
      </c>
      <c r="B151" t="s">
        <v>22</v>
      </c>
      <c r="C151" t="s">
        <v>206</v>
      </c>
      <c r="D151">
        <v>123</v>
      </c>
      <c r="E151" t="s">
        <v>391</v>
      </c>
      <c r="F151" t="s">
        <v>37</v>
      </c>
      <c r="G151" t="s">
        <v>25</v>
      </c>
      <c r="I151" t="s">
        <v>133</v>
      </c>
      <c r="J151" t="s">
        <v>133</v>
      </c>
      <c r="K151">
        <v>259</v>
      </c>
      <c r="L151" t="s">
        <v>36</v>
      </c>
      <c r="M151" t="s">
        <v>25</v>
      </c>
      <c r="N151" t="s">
        <v>180</v>
      </c>
      <c r="O151" t="s">
        <v>181</v>
      </c>
    </row>
    <row r="152" spans="1:15" x14ac:dyDescent="0.3">
      <c r="A152" t="s">
        <v>133</v>
      </c>
      <c r="B152" t="s">
        <v>22</v>
      </c>
      <c r="C152" t="s">
        <v>206</v>
      </c>
      <c r="D152">
        <v>164</v>
      </c>
      <c r="E152" t="s">
        <v>391</v>
      </c>
      <c r="F152" t="s">
        <v>37</v>
      </c>
      <c r="G152" t="s">
        <v>25</v>
      </c>
      <c r="I152" t="s">
        <v>133</v>
      </c>
      <c r="J152" t="s">
        <v>133</v>
      </c>
      <c r="K152">
        <v>259</v>
      </c>
      <c r="L152" t="s">
        <v>36</v>
      </c>
      <c r="M152" t="s">
        <v>25</v>
      </c>
      <c r="N152" t="s">
        <v>180</v>
      </c>
      <c r="O152" t="s">
        <v>181</v>
      </c>
    </row>
    <row r="153" spans="1:15" x14ac:dyDescent="0.3">
      <c r="A153" t="s">
        <v>133</v>
      </c>
      <c r="B153" t="s">
        <v>22</v>
      </c>
      <c r="C153" t="s">
        <v>207</v>
      </c>
      <c r="D153">
        <v>21</v>
      </c>
      <c r="E153" t="s">
        <v>391</v>
      </c>
      <c r="F153" t="s">
        <v>37</v>
      </c>
      <c r="G153" t="s">
        <v>25</v>
      </c>
      <c r="I153" t="s">
        <v>133</v>
      </c>
      <c r="J153" t="s">
        <v>133</v>
      </c>
      <c r="K153">
        <v>259</v>
      </c>
      <c r="L153" t="s">
        <v>36</v>
      </c>
      <c r="M153" t="s">
        <v>25</v>
      </c>
      <c r="N153" t="s">
        <v>180</v>
      </c>
      <c r="O153" t="s">
        <v>181</v>
      </c>
    </row>
    <row r="154" spans="1:15" x14ac:dyDescent="0.3">
      <c r="A154" t="s">
        <v>133</v>
      </c>
      <c r="B154" t="s">
        <v>22</v>
      </c>
      <c r="C154" t="s">
        <v>207</v>
      </c>
      <c r="D154">
        <v>38</v>
      </c>
      <c r="E154" t="s">
        <v>391</v>
      </c>
      <c r="F154" t="s">
        <v>37</v>
      </c>
      <c r="G154" t="s">
        <v>25</v>
      </c>
      <c r="I154" t="s">
        <v>133</v>
      </c>
      <c r="J154" t="s">
        <v>133</v>
      </c>
      <c r="K154">
        <v>259</v>
      </c>
      <c r="L154" t="s">
        <v>36</v>
      </c>
      <c r="M154" t="s">
        <v>25</v>
      </c>
      <c r="N154" t="s">
        <v>180</v>
      </c>
      <c r="O154" t="s">
        <v>181</v>
      </c>
    </row>
    <row r="155" spans="1:15" x14ac:dyDescent="0.3">
      <c r="A155" t="s">
        <v>133</v>
      </c>
      <c r="B155" t="s">
        <v>22</v>
      </c>
      <c r="C155" t="s">
        <v>207</v>
      </c>
      <c r="D155">
        <v>55</v>
      </c>
      <c r="E155" t="s">
        <v>391</v>
      </c>
      <c r="F155" t="s">
        <v>37</v>
      </c>
      <c r="G155" t="s">
        <v>25</v>
      </c>
      <c r="I155" t="s">
        <v>133</v>
      </c>
      <c r="J155" t="s">
        <v>133</v>
      </c>
      <c r="K155">
        <v>259</v>
      </c>
      <c r="L155" t="s">
        <v>36</v>
      </c>
      <c r="M155" t="s">
        <v>25</v>
      </c>
      <c r="N155" t="s">
        <v>180</v>
      </c>
      <c r="O155" t="s">
        <v>181</v>
      </c>
    </row>
    <row r="156" spans="1:15" x14ac:dyDescent="0.3">
      <c r="A156" t="s">
        <v>133</v>
      </c>
      <c r="B156" t="s">
        <v>22</v>
      </c>
      <c r="C156" t="s">
        <v>207</v>
      </c>
      <c r="D156">
        <v>72</v>
      </c>
      <c r="E156" t="s">
        <v>391</v>
      </c>
      <c r="F156" t="s">
        <v>37</v>
      </c>
      <c r="G156" t="s">
        <v>25</v>
      </c>
      <c r="I156" t="s">
        <v>133</v>
      </c>
      <c r="J156" t="s">
        <v>133</v>
      </c>
      <c r="K156">
        <v>259</v>
      </c>
      <c r="L156" t="s">
        <v>36</v>
      </c>
      <c r="M156" t="s">
        <v>25</v>
      </c>
      <c r="N156" t="s">
        <v>180</v>
      </c>
      <c r="O156" t="s">
        <v>181</v>
      </c>
    </row>
    <row r="157" spans="1:15" x14ac:dyDescent="0.3">
      <c r="A157" t="s">
        <v>133</v>
      </c>
      <c r="B157" t="s">
        <v>22</v>
      </c>
      <c r="C157" t="s">
        <v>207</v>
      </c>
      <c r="D157">
        <v>93</v>
      </c>
      <c r="E157" t="s">
        <v>391</v>
      </c>
      <c r="F157" t="s">
        <v>37</v>
      </c>
      <c r="G157" t="s">
        <v>25</v>
      </c>
      <c r="I157" t="s">
        <v>133</v>
      </c>
      <c r="J157" t="s">
        <v>133</v>
      </c>
      <c r="K157">
        <v>259</v>
      </c>
      <c r="L157" t="s">
        <v>36</v>
      </c>
      <c r="M157" t="s">
        <v>25</v>
      </c>
      <c r="N157" t="s">
        <v>180</v>
      </c>
      <c r="O157" t="s">
        <v>181</v>
      </c>
    </row>
    <row r="158" spans="1:15" x14ac:dyDescent="0.3">
      <c r="A158" t="s">
        <v>133</v>
      </c>
      <c r="B158" t="s">
        <v>22</v>
      </c>
      <c r="C158" t="s">
        <v>207</v>
      </c>
      <c r="D158">
        <v>114</v>
      </c>
      <c r="E158" t="s">
        <v>391</v>
      </c>
      <c r="F158" t="s">
        <v>37</v>
      </c>
      <c r="G158" t="s">
        <v>25</v>
      </c>
      <c r="I158" t="s">
        <v>133</v>
      </c>
      <c r="J158" t="s">
        <v>133</v>
      </c>
      <c r="K158">
        <v>259</v>
      </c>
      <c r="L158" t="s">
        <v>36</v>
      </c>
      <c r="M158" t="s">
        <v>25</v>
      </c>
      <c r="N158" t="s">
        <v>180</v>
      </c>
      <c r="O158" t="s">
        <v>181</v>
      </c>
    </row>
    <row r="159" spans="1:15" x14ac:dyDescent="0.3">
      <c r="A159" t="s">
        <v>133</v>
      </c>
      <c r="B159" t="s">
        <v>22</v>
      </c>
      <c r="C159" t="s">
        <v>207</v>
      </c>
      <c r="D159">
        <v>137</v>
      </c>
      <c r="E159" t="s">
        <v>391</v>
      </c>
      <c r="F159" t="s">
        <v>37</v>
      </c>
      <c r="G159" t="s">
        <v>25</v>
      </c>
      <c r="I159" t="s">
        <v>133</v>
      </c>
      <c r="J159" t="s">
        <v>133</v>
      </c>
      <c r="K159">
        <v>259</v>
      </c>
      <c r="L159" t="s">
        <v>36</v>
      </c>
      <c r="M159" t="s">
        <v>25</v>
      </c>
      <c r="N159" t="s">
        <v>180</v>
      </c>
      <c r="O159" t="s">
        <v>181</v>
      </c>
    </row>
    <row r="160" spans="1:15" x14ac:dyDescent="0.3">
      <c r="A160" t="s">
        <v>133</v>
      </c>
      <c r="B160" t="s">
        <v>22</v>
      </c>
      <c r="C160" t="s">
        <v>207</v>
      </c>
      <c r="D160">
        <v>155</v>
      </c>
      <c r="E160" t="s">
        <v>391</v>
      </c>
      <c r="F160" t="s">
        <v>37</v>
      </c>
      <c r="G160" t="s">
        <v>25</v>
      </c>
      <c r="I160" t="s">
        <v>133</v>
      </c>
      <c r="J160" t="s">
        <v>133</v>
      </c>
      <c r="K160">
        <v>259</v>
      </c>
      <c r="L160" t="s">
        <v>36</v>
      </c>
      <c r="M160" t="s">
        <v>25</v>
      </c>
      <c r="N160" t="s">
        <v>180</v>
      </c>
      <c r="O160" t="s">
        <v>181</v>
      </c>
    </row>
    <row r="161" spans="1:15" x14ac:dyDescent="0.3">
      <c r="A161" t="s">
        <v>133</v>
      </c>
      <c r="B161" t="s">
        <v>22</v>
      </c>
      <c r="C161" t="s">
        <v>207</v>
      </c>
      <c r="D161">
        <v>173</v>
      </c>
      <c r="E161" t="s">
        <v>391</v>
      </c>
      <c r="F161" t="s">
        <v>37</v>
      </c>
      <c r="G161" t="s">
        <v>25</v>
      </c>
      <c r="I161" t="s">
        <v>133</v>
      </c>
      <c r="J161" t="s">
        <v>133</v>
      </c>
      <c r="K161">
        <v>259</v>
      </c>
      <c r="L161" t="s">
        <v>36</v>
      </c>
      <c r="M161" t="s">
        <v>25</v>
      </c>
      <c r="N161" t="s">
        <v>180</v>
      </c>
      <c r="O161" t="s">
        <v>181</v>
      </c>
    </row>
    <row r="162" spans="1:15" x14ac:dyDescent="0.3">
      <c r="A162" t="s">
        <v>133</v>
      </c>
      <c r="B162" t="s">
        <v>22</v>
      </c>
      <c r="C162" t="s">
        <v>207</v>
      </c>
      <c r="D162">
        <v>190</v>
      </c>
      <c r="E162" t="s">
        <v>391</v>
      </c>
      <c r="F162" t="s">
        <v>37</v>
      </c>
      <c r="G162" t="s">
        <v>25</v>
      </c>
      <c r="I162" t="s">
        <v>133</v>
      </c>
      <c r="J162" t="s">
        <v>133</v>
      </c>
      <c r="K162">
        <v>259</v>
      </c>
      <c r="L162" t="s">
        <v>36</v>
      </c>
      <c r="M162" t="s">
        <v>25</v>
      </c>
      <c r="N162" t="s">
        <v>180</v>
      </c>
      <c r="O162" t="s">
        <v>181</v>
      </c>
    </row>
    <row r="163" spans="1:15" x14ac:dyDescent="0.3">
      <c r="A163" t="s">
        <v>133</v>
      </c>
      <c r="B163" t="s">
        <v>22</v>
      </c>
      <c r="C163" t="s">
        <v>207</v>
      </c>
      <c r="D163">
        <v>309</v>
      </c>
      <c r="E163" t="s">
        <v>391</v>
      </c>
      <c r="F163" t="s">
        <v>37</v>
      </c>
      <c r="G163" t="s">
        <v>25</v>
      </c>
      <c r="I163" t="s">
        <v>133</v>
      </c>
      <c r="J163" t="s">
        <v>133</v>
      </c>
      <c r="K163">
        <v>259</v>
      </c>
      <c r="L163" t="s">
        <v>36</v>
      </c>
      <c r="M163" t="s">
        <v>25</v>
      </c>
      <c r="N163" t="s">
        <v>180</v>
      </c>
      <c r="O163" t="s">
        <v>181</v>
      </c>
    </row>
    <row r="164" spans="1:15" x14ac:dyDescent="0.3">
      <c r="A164" t="s">
        <v>133</v>
      </c>
      <c r="B164" t="s">
        <v>22</v>
      </c>
      <c r="C164" t="s">
        <v>207</v>
      </c>
      <c r="D164">
        <v>326</v>
      </c>
      <c r="E164" t="s">
        <v>391</v>
      </c>
      <c r="F164" t="s">
        <v>37</v>
      </c>
      <c r="G164" t="s">
        <v>25</v>
      </c>
      <c r="I164" t="s">
        <v>133</v>
      </c>
      <c r="J164" t="s">
        <v>133</v>
      </c>
      <c r="K164">
        <v>259</v>
      </c>
      <c r="L164" t="s">
        <v>36</v>
      </c>
      <c r="M164" t="s">
        <v>25</v>
      </c>
      <c r="N164" t="s">
        <v>180</v>
      </c>
      <c r="O164" t="s">
        <v>181</v>
      </c>
    </row>
    <row r="165" spans="1:15" x14ac:dyDescent="0.3">
      <c r="A165" t="s">
        <v>133</v>
      </c>
      <c r="B165" t="s">
        <v>22</v>
      </c>
      <c r="C165" t="s">
        <v>207</v>
      </c>
      <c r="D165">
        <v>207</v>
      </c>
      <c r="E165" t="s">
        <v>391</v>
      </c>
      <c r="F165" t="s">
        <v>37</v>
      </c>
      <c r="G165" t="s">
        <v>25</v>
      </c>
      <c r="I165" t="s">
        <v>133</v>
      </c>
      <c r="J165" t="s">
        <v>133</v>
      </c>
      <c r="K165">
        <v>259</v>
      </c>
      <c r="L165" t="s">
        <v>36</v>
      </c>
      <c r="M165" t="s">
        <v>25</v>
      </c>
      <c r="N165" t="s">
        <v>180</v>
      </c>
      <c r="O165" t="s">
        <v>181</v>
      </c>
    </row>
    <row r="166" spans="1:15" x14ac:dyDescent="0.3">
      <c r="A166" t="s">
        <v>133</v>
      </c>
      <c r="B166" t="s">
        <v>22</v>
      </c>
      <c r="C166" t="s">
        <v>207</v>
      </c>
      <c r="D166">
        <v>228</v>
      </c>
      <c r="E166" t="s">
        <v>391</v>
      </c>
      <c r="F166" t="s">
        <v>37</v>
      </c>
      <c r="G166" t="s">
        <v>25</v>
      </c>
      <c r="I166" t="s">
        <v>133</v>
      </c>
      <c r="J166" t="s">
        <v>133</v>
      </c>
      <c r="K166">
        <v>259</v>
      </c>
      <c r="L166" t="s">
        <v>36</v>
      </c>
      <c r="M166" t="s">
        <v>25</v>
      </c>
      <c r="N166" t="s">
        <v>180</v>
      </c>
      <c r="O166" t="s">
        <v>181</v>
      </c>
    </row>
    <row r="167" spans="1:15" x14ac:dyDescent="0.3">
      <c r="A167" t="s">
        <v>133</v>
      </c>
      <c r="B167" t="s">
        <v>22</v>
      </c>
      <c r="C167" t="s">
        <v>207</v>
      </c>
      <c r="D167">
        <v>249</v>
      </c>
      <c r="E167" t="s">
        <v>391</v>
      </c>
      <c r="F167" t="s">
        <v>37</v>
      </c>
      <c r="G167" t="s">
        <v>25</v>
      </c>
      <c r="I167" t="s">
        <v>133</v>
      </c>
      <c r="J167" t="s">
        <v>133</v>
      </c>
      <c r="K167">
        <v>259</v>
      </c>
      <c r="L167" t="s">
        <v>36</v>
      </c>
      <c r="M167" t="s">
        <v>25</v>
      </c>
      <c r="N167" t="s">
        <v>180</v>
      </c>
      <c r="O167" t="s">
        <v>181</v>
      </c>
    </row>
    <row r="168" spans="1:15" x14ac:dyDescent="0.3">
      <c r="A168" t="s">
        <v>133</v>
      </c>
      <c r="B168" t="s">
        <v>22</v>
      </c>
      <c r="C168" t="s">
        <v>207</v>
      </c>
      <c r="D168">
        <v>269</v>
      </c>
      <c r="E168" t="s">
        <v>391</v>
      </c>
      <c r="F168" t="s">
        <v>37</v>
      </c>
      <c r="G168" t="s">
        <v>25</v>
      </c>
      <c r="I168" t="s">
        <v>133</v>
      </c>
      <c r="J168" t="s">
        <v>133</v>
      </c>
      <c r="K168">
        <v>259</v>
      </c>
      <c r="L168" t="s">
        <v>36</v>
      </c>
      <c r="M168" t="s">
        <v>25</v>
      </c>
      <c r="N168" t="s">
        <v>180</v>
      </c>
      <c r="O168" t="s">
        <v>181</v>
      </c>
    </row>
    <row r="169" spans="1:15" x14ac:dyDescent="0.3">
      <c r="A169" t="s">
        <v>133</v>
      </c>
      <c r="B169" t="s">
        <v>22</v>
      </c>
      <c r="C169" t="s">
        <v>207</v>
      </c>
      <c r="D169">
        <v>292</v>
      </c>
      <c r="E169" t="s">
        <v>391</v>
      </c>
      <c r="F169" t="s">
        <v>37</v>
      </c>
      <c r="G169" t="s">
        <v>25</v>
      </c>
      <c r="I169" t="s">
        <v>133</v>
      </c>
      <c r="J169" t="s">
        <v>133</v>
      </c>
      <c r="K169">
        <v>259</v>
      </c>
      <c r="L169" t="s">
        <v>36</v>
      </c>
      <c r="M169" t="s">
        <v>25</v>
      </c>
      <c r="N169" t="s">
        <v>180</v>
      </c>
      <c r="O169" t="s">
        <v>181</v>
      </c>
    </row>
    <row r="170" spans="1:15" x14ac:dyDescent="0.3">
      <c r="A170" t="s">
        <v>133</v>
      </c>
      <c r="B170" t="s">
        <v>22</v>
      </c>
      <c r="C170" t="s">
        <v>208</v>
      </c>
      <c r="D170">
        <v>112</v>
      </c>
      <c r="E170" t="s">
        <v>391</v>
      </c>
      <c r="F170" t="s">
        <v>37</v>
      </c>
      <c r="G170" t="s">
        <v>25</v>
      </c>
      <c r="I170" t="s">
        <v>133</v>
      </c>
      <c r="J170" t="s">
        <v>133</v>
      </c>
      <c r="K170">
        <v>259</v>
      </c>
      <c r="L170" t="s">
        <v>36</v>
      </c>
      <c r="M170" t="s">
        <v>25</v>
      </c>
      <c r="N170" t="s">
        <v>180</v>
      </c>
      <c r="O170" t="s">
        <v>181</v>
      </c>
    </row>
    <row r="171" spans="1:15" x14ac:dyDescent="0.3">
      <c r="A171" t="s">
        <v>133</v>
      </c>
      <c r="B171" t="s">
        <v>22</v>
      </c>
      <c r="C171" t="s">
        <v>208</v>
      </c>
      <c r="D171">
        <v>132</v>
      </c>
      <c r="E171" t="s">
        <v>391</v>
      </c>
      <c r="F171" t="s">
        <v>37</v>
      </c>
      <c r="G171" t="s">
        <v>25</v>
      </c>
      <c r="I171" t="s">
        <v>133</v>
      </c>
      <c r="J171" t="s">
        <v>133</v>
      </c>
      <c r="K171">
        <v>259</v>
      </c>
      <c r="L171" t="s">
        <v>36</v>
      </c>
      <c r="M171" t="s">
        <v>25</v>
      </c>
      <c r="N171" t="s">
        <v>180</v>
      </c>
      <c r="O171" t="s">
        <v>181</v>
      </c>
    </row>
    <row r="172" spans="1:15" x14ac:dyDescent="0.3">
      <c r="A172" t="s">
        <v>133</v>
      </c>
      <c r="B172" t="s">
        <v>22</v>
      </c>
      <c r="C172" t="s">
        <v>209</v>
      </c>
      <c r="D172">
        <v>149</v>
      </c>
      <c r="E172" t="s">
        <v>391</v>
      </c>
      <c r="F172" t="s">
        <v>37</v>
      </c>
      <c r="G172" t="s">
        <v>25</v>
      </c>
      <c r="I172" t="s">
        <v>133</v>
      </c>
      <c r="J172" t="s">
        <v>133</v>
      </c>
      <c r="K172">
        <v>259</v>
      </c>
      <c r="L172" t="s">
        <v>36</v>
      </c>
      <c r="M172" t="s">
        <v>25</v>
      </c>
      <c r="N172" t="s">
        <v>180</v>
      </c>
      <c r="O172" t="s">
        <v>181</v>
      </c>
    </row>
    <row r="173" spans="1:15" x14ac:dyDescent="0.3">
      <c r="A173" t="s">
        <v>133</v>
      </c>
      <c r="B173" t="s">
        <v>22</v>
      </c>
      <c r="C173" t="s">
        <v>209</v>
      </c>
      <c r="D173">
        <v>56</v>
      </c>
      <c r="E173" t="s">
        <v>391</v>
      </c>
      <c r="F173" t="s">
        <v>37</v>
      </c>
      <c r="G173" t="s">
        <v>25</v>
      </c>
      <c r="I173" t="s">
        <v>133</v>
      </c>
      <c r="J173" t="s">
        <v>133</v>
      </c>
      <c r="K173">
        <v>259</v>
      </c>
      <c r="L173" t="s">
        <v>36</v>
      </c>
      <c r="M173" t="s">
        <v>25</v>
      </c>
      <c r="N173" t="s">
        <v>180</v>
      </c>
      <c r="O173" t="s">
        <v>181</v>
      </c>
    </row>
    <row r="174" spans="1:15" x14ac:dyDescent="0.3">
      <c r="A174" t="s">
        <v>133</v>
      </c>
      <c r="B174" t="s">
        <v>22</v>
      </c>
      <c r="C174" t="s">
        <v>209</v>
      </c>
      <c r="D174">
        <v>73</v>
      </c>
      <c r="E174" t="s">
        <v>391</v>
      </c>
      <c r="F174" t="s">
        <v>37</v>
      </c>
      <c r="G174" t="s">
        <v>25</v>
      </c>
      <c r="I174" t="s">
        <v>133</v>
      </c>
      <c r="J174" t="s">
        <v>133</v>
      </c>
      <c r="K174">
        <v>259</v>
      </c>
      <c r="L174" t="s">
        <v>36</v>
      </c>
      <c r="M174" t="s">
        <v>25</v>
      </c>
      <c r="N174" t="s">
        <v>180</v>
      </c>
      <c r="O174" t="s">
        <v>181</v>
      </c>
    </row>
    <row r="175" spans="1:15" x14ac:dyDescent="0.3">
      <c r="A175" t="s">
        <v>133</v>
      </c>
      <c r="B175" t="s">
        <v>22</v>
      </c>
      <c r="C175" t="s">
        <v>209</v>
      </c>
      <c r="D175">
        <v>90</v>
      </c>
      <c r="E175" t="s">
        <v>391</v>
      </c>
      <c r="F175" t="s">
        <v>37</v>
      </c>
      <c r="G175" t="s">
        <v>25</v>
      </c>
      <c r="I175" t="s">
        <v>133</v>
      </c>
      <c r="J175" t="s">
        <v>133</v>
      </c>
      <c r="K175">
        <v>259</v>
      </c>
      <c r="L175" t="s">
        <v>36</v>
      </c>
      <c r="M175" t="s">
        <v>25</v>
      </c>
      <c r="N175" t="s">
        <v>180</v>
      </c>
      <c r="O175" t="s">
        <v>181</v>
      </c>
    </row>
    <row r="176" spans="1:15" x14ac:dyDescent="0.3">
      <c r="A176" t="s">
        <v>133</v>
      </c>
      <c r="B176" t="s">
        <v>22</v>
      </c>
      <c r="C176" t="s">
        <v>209</v>
      </c>
      <c r="D176">
        <v>109</v>
      </c>
      <c r="E176" t="s">
        <v>391</v>
      </c>
      <c r="F176" t="s">
        <v>37</v>
      </c>
      <c r="G176" t="s">
        <v>25</v>
      </c>
      <c r="I176" t="s">
        <v>133</v>
      </c>
      <c r="J176" t="s">
        <v>133</v>
      </c>
      <c r="K176">
        <v>259</v>
      </c>
      <c r="L176" t="s">
        <v>36</v>
      </c>
      <c r="M176" t="s">
        <v>25</v>
      </c>
      <c r="N176" t="s">
        <v>180</v>
      </c>
      <c r="O176" t="s">
        <v>181</v>
      </c>
    </row>
    <row r="177" spans="1:15" x14ac:dyDescent="0.3">
      <c r="A177" t="s">
        <v>133</v>
      </c>
      <c r="B177" t="s">
        <v>22</v>
      </c>
      <c r="C177" t="s">
        <v>209</v>
      </c>
      <c r="D177">
        <v>129</v>
      </c>
      <c r="E177" t="s">
        <v>391</v>
      </c>
      <c r="F177" t="s">
        <v>37</v>
      </c>
      <c r="G177" t="s">
        <v>25</v>
      </c>
      <c r="I177" t="s">
        <v>133</v>
      </c>
      <c r="J177" t="s">
        <v>133</v>
      </c>
      <c r="K177">
        <v>259</v>
      </c>
      <c r="L177" t="s">
        <v>36</v>
      </c>
      <c r="M177" t="s">
        <v>25</v>
      </c>
      <c r="N177" t="s">
        <v>180</v>
      </c>
      <c r="O177" t="s">
        <v>181</v>
      </c>
    </row>
    <row r="178" spans="1:15" x14ac:dyDescent="0.3">
      <c r="A178" t="s">
        <v>133</v>
      </c>
      <c r="B178" t="s">
        <v>22</v>
      </c>
      <c r="C178" t="s">
        <v>209</v>
      </c>
      <c r="D178">
        <v>19</v>
      </c>
      <c r="E178" t="s">
        <v>391</v>
      </c>
      <c r="F178" t="s">
        <v>37</v>
      </c>
      <c r="G178" t="s">
        <v>25</v>
      </c>
      <c r="I178" t="s">
        <v>133</v>
      </c>
      <c r="J178" t="s">
        <v>133</v>
      </c>
      <c r="K178">
        <v>259</v>
      </c>
      <c r="L178" t="s">
        <v>36</v>
      </c>
      <c r="M178" t="s">
        <v>25</v>
      </c>
      <c r="N178" t="s">
        <v>180</v>
      </c>
      <c r="O178" t="s">
        <v>181</v>
      </c>
    </row>
    <row r="179" spans="1:15" x14ac:dyDescent="0.3">
      <c r="A179" t="s">
        <v>133</v>
      </c>
      <c r="B179" t="s">
        <v>22</v>
      </c>
      <c r="C179" t="s">
        <v>210</v>
      </c>
      <c r="D179">
        <v>26</v>
      </c>
      <c r="E179" t="s">
        <v>391</v>
      </c>
      <c r="F179" t="s">
        <v>37</v>
      </c>
      <c r="G179" t="s">
        <v>25</v>
      </c>
      <c r="I179" t="s">
        <v>133</v>
      </c>
      <c r="J179" t="s">
        <v>133</v>
      </c>
      <c r="K179">
        <v>259</v>
      </c>
      <c r="L179" t="s">
        <v>36</v>
      </c>
      <c r="M179" t="s">
        <v>25</v>
      </c>
      <c r="N179" t="s">
        <v>180</v>
      </c>
      <c r="O179" t="s">
        <v>181</v>
      </c>
    </row>
    <row r="180" spans="1:15" x14ac:dyDescent="0.3">
      <c r="A180" t="s">
        <v>133</v>
      </c>
      <c r="B180" t="s">
        <v>22</v>
      </c>
      <c r="C180" t="s">
        <v>210</v>
      </c>
      <c r="D180">
        <v>64</v>
      </c>
      <c r="E180" t="s">
        <v>391</v>
      </c>
      <c r="F180" t="s">
        <v>37</v>
      </c>
      <c r="G180" t="s">
        <v>25</v>
      </c>
      <c r="I180" t="s">
        <v>133</v>
      </c>
      <c r="J180" t="s">
        <v>133</v>
      </c>
      <c r="K180">
        <v>259</v>
      </c>
      <c r="L180" t="s">
        <v>36</v>
      </c>
      <c r="M180" t="s">
        <v>25</v>
      </c>
      <c r="N180" t="s">
        <v>180</v>
      </c>
      <c r="O180" t="s">
        <v>181</v>
      </c>
    </row>
    <row r="181" spans="1:15" x14ac:dyDescent="0.3">
      <c r="A181" t="s">
        <v>133</v>
      </c>
      <c r="B181" t="s">
        <v>22</v>
      </c>
      <c r="C181" t="s">
        <v>210</v>
      </c>
      <c r="D181">
        <v>86</v>
      </c>
      <c r="E181" t="s">
        <v>391</v>
      </c>
      <c r="F181" t="s">
        <v>37</v>
      </c>
      <c r="G181" t="s">
        <v>25</v>
      </c>
      <c r="I181" t="s">
        <v>133</v>
      </c>
      <c r="J181" t="s">
        <v>133</v>
      </c>
      <c r="K181">
        <v>259</v>
      </c>
      <c r="L181" t="s">
        <v>36</v>
      </c>
      <c r="M181" t="s">
        <v>25</v>
      </c>
      <c r="N181" t="s">
        <v>180</v>
      </c>
      <c r="O181" t="s">
        <v>181</v>
      </c>
    </row>
    <row r="182" spans="1:15" x14ac:dyDescent="0.3">
      <c r="A182" t="s">
        <v>133</v>
      </c>
      <c r="B182" t="s">
        <v>22</v>
      </c>
      <c r="C182" t="s">
        <v>210</v>
      </c>
      <c r="D182">
        <v>112</v>
      </c>
      <c r="E182" t="s">
        <v>391</v>
      </c>
      <c r="F182" t="s">
        <v>37</v>
      </c>
      <c r="G182" t="s">
        <v>25</v>
      </c>
      <c r="I182" t="s">
        <v>133</v>
      </c>
      <c r="J182" t="s">
        <v>133</v>
      </c>
      <c r="K182">
        <v>259</v>
      </c>
      <c r="L182" t="s">
        <v>36</v>
      </c>
      <c r="M182" t="s">
        <v>25</v>
      </c>
      <c r="N182" t="s">
        <v>180</v>
      </c>
      <c r="O182" t="s">
        <v>181</v>
      </c>
    </row>
    <row r="183" spans="1:15" x14ac:dyDescent="0.3">
      <c r="A183" t="s">
        <v>133</v>
      </c>
      <c r="B183" t="s">
        <v>22</v>
      </c>
      <c r="C183" t="s">
        <v>210</v>
      </c>
      <c r="D183">
        <v>142</v>
      </c>
      <c r="E183" t="s">
        <v>391</v>
      </c>
      <c r="F183" t="s">
        <v>37</v>
      </c>
      <c r="G183" t="s">
        <v>25</v>
      </c>
      <c r="I183" t="s">
        <v>133</v>
      </c>
      <c r="J183" t="s">
        <v>133</v>
      </c>
      <c r="K183">
        <v>259</v>
      </c>
      <c r="L183" t="s">
        <v>36</v>
      </c>
      <c r="M183" t="s">
        <v>25</v>
      </c>
      <c r="N183" t="s">
        <v>180</v>
      </c>
      <c r="O183" t="s">
        <v>181</v>
      </c>
    </row>
    <row r="184" spans="1:15" x14ac:dyDescent="0.3">
      <c r="A184" t="s">
        <v>133</v>
      </c>
      <c r="B184" t="s">
        <v>22</v>
      </c>
      <c r="C184" t="s">
        <v>211</v>
      </c>
      <c r="D184">
        <v>21</v>
      </c>
      <c r="E184" t="s">
        <v>391</v>
      </c>
      <c r="F184" t="s">
        <v>37</v>
      </c>
      <c r="G184" t="s">
        <v>25</v>
      </c>
      <c r="I184" t="s">
        <v>133</v>
      </c>
      <c r="J184" t="s">
        <v>133</v>
      </c>
      <c r="K184">
        <v>259</v>
      </c>
      <c r="L184" t="s">
        <v>36</v>
      </c>
      <c r="M184" t="s">
        <v>25</v>
      </c>
      <c r="N184" t="s">
        <v>180</v>
      </c>
      <c r="O184" t="s">
        <v>181</v>
      </c>
    </row>
    <row r="185" spans="1:15" x14ac:dyDescent="0.3">
      <c r="A185" t="s">
        <v>133</v>
      </c>
      <c r="B185" t="s">
        <v>22</v>
      </c>
      <c r="C185" t="s">
        <v>211</v>
      </c>
      <c r="D185">
        <v>30</v>
      </c>
      <c r="E185" t="s">
        <v>391</v>
      </c>
      <c r="F185" t="s">
        <v>37</v>
      </c>
      <c r="G185" t="s">
        <v>25</v>
      </c>
      <c r="I185" t="s">
        <v>133</v>
      </c>
      <c r="J185" t="s">
        <v>133</v>
      </c>
      <c r="K185">
        <v>259</v>
      </c>
      <c r="L185" t="s">
        <v>36</v>
      </c>
      <c r="M185" t="s">
        <v>25</v>
      </c>
      <c r="N185" t="s">
        <v>180</v>
      </c>
      <c r="O185" t="s">
        <v>181</v>
      </c>
    </row>
    <row r="186" spans="1:15" x14ac:dyDescent="0.3">
      <c r="A186" t="s">
        <v>133</v>
      </c>
      <c r="B186" t="s">
        <v>22</v>
      </c>
      <c r="C186" t="s">
        <v>211</v>
      </c>
      <c r="D186">
        <v>46</v>
      </c>
      <c r="E186" t="s">
        <v>391</v>
      </c>
      <c r="F186" t="s">
        <v>37</v>
      </c>
      <c r="G186" t="s">
        <v>25</v>
      </c>
      <c r="I186" t="s">
        <v>133</v>
      </c>
      <c r="J186" t="s">
        <v>133</v>
      </c>
      <c r="K186">
        <v>259</v>
      </c>
      <c r="L186" t="s">
        <v>36</v>
      </c>
      <c r="M186" t="s">
        <v>25</v>
      </c>
      <c r="N186" t="s">
        <v>180</v>
      </c>
      <c r="O186" t="s">
        <v>181</v>
      </c>
    </row>
    <row r="187" spans="1:15" x14ac:dyDescent="0.3">
      <c r="A187" t="s">
        <v>133</v>
      </c>
      <c r="B187" t="s">
        <v>22</v>
      </c>
      <c r="C187" t="s">
        <v>211</v>
      </c>
      <c r="D187">
        <v>64</v>
      </c>
      <c r="E187" t="s">
        <v>391</v>
      </c>
      <c r="F187" t="s">
        <v>37</v>
      </c>
      <c r="G187" t="s">
        <v>25</v>
      </c>
      <c r="I187" t="s">
        <v>133</v>
      </c>
      <c r="J187" t="s">
        <v>133</v>
      </c>
      <c r="K187">
        <v>259</v>
      </c>
      <c r="L187" t="s">
        <v>36</v>
      </c>
      <c r="M187" t="s">
        <v>25</v>
      </c>
      <c r="N187" t="s">
        <v>180</v>
      </c>
      <c r="O187" t="s">
        <v>181</v>
      </c>
    </row>
    <row r="188" spans="1:15" x14ac:dyDescent="0.3">
      <c r="A188" t="s">
        <v>133</v>
      </c>
      <c r="B188" t="s">
        <v>22</v>
      </c>
      <c r="C188" t="s">
        <v>211</v>
      </c>
      <c r="D188">
        <v>79</v>
      </c>
      <c r="E188" t="s">
        <v>391</v>
      </c>
      <c r="F188" t="s">
        <v>37</v>
      </c>
      <c r="G188" t="s">
        <v>25</v>
      </c>
      <c r="I188" t="s">
        <v>133</v>
      </c>
      <c r="J188" t="s">
        <v>133</v>
      </c>
      <c r="K188">
        <v>259</v>
      </c>
      <c r="L188" t="s">
        <v>36</v>
      </c>
      <c r="M188" t="s">
        <v>25</v>
      </c>
      <c r="N188" t="s">
        <v>180</v>
      </c>
      <c r="O188" t="s">
        <v>181</v>
      </c>
    </row>
    <row r="189" spans="1:15" x14ac:dyDescent="0.3">
      <c r="A189" t="s">
        <v>133</v>
      </c>
      <c r="B189" t="s">
        <v>22</v>
      </c>
      <c r="C189" t="s">
        <v>211</v>
      </c>
      <c r="D189">
        <v>94</v>
      </c>
      <c r="E189" t="s">
        <v>391</v>
      </c>
      <c r="F189" t="s">
        <v>37</v>
      </c>
      <c r="G189" t="s">
        <v>25</v>
      </c>
      <c r="I189" t="s">
        <v>133</v>
      </c>
      <c r="J189" t="s">
        <v>133</v>
      </c>
      <c r="K189">
        <v>259</v>
      </c>
      <c r="L189" t="s">
        <v>36</v>
      </c>
      <c r="M189" t="s">
        <v>25</v>
      </c>
      <c r="N189" t="s">
        <v>180</v>
      </c>
      <c r="O189" t="s">
        <v>181</v>
      </c>
    </row>
    <row r="190" spans="1:15" x14ac:dyDescent="0.3">
      <c r="A190" t="s">
        <v>133</v>
      </c>
      <c r="B190" t="s">
        <v>22</v>
      </c>
      <c r="C190" t="s">
        <v>211</v>
      </c>
      <c r="D190">
        <v>109</v>
      </c>
      <c r="E190" t="s">
        <v>391</v>
      </c>
      <c r="F190" t="s">
        <v>37</v>
      </c>
      <c r="G190" t="s">
        <v>25</v>
      </c>
      <c r="I190" t="s">
        <v>133</v>
      </c>
      <c r="J190" t="s">
        <v>133</v>
      </c>
      <c r="K190">
        <v>259</v>
      </c>
      <c r="L190" t="s">
        <v>36</v>
      </c>
      <c r="M190" t="s">
        <v>25</v>
      </c>
      <c r="N190" t="s">
        <v>180</v>
      </c>
      <c r="O190" t="s">
        <v>181</v>
      </c>
    </row>
    <row r="191" spans="1:15" x14ac:dyDescent="0.3">
      <c r="A191" t="s">
        <v>133</v>
      </c>
      <c r="B191" t="s">
        <v>22</v>
      </c>
      <c r="C191" t="s">
        <v>211</v>
      </c>
      <c r="D191">
        <v>124</v>
      </c>
      <c r="E191" t="s">
        <v>391</v>
      </c>
      <c r="F191" t="s">
        <v>37</v>
      </c>
      <c r="G191" t="s">
        <v>25</v>
      </c>
      <c r="I191" t="s">
        <v>133</v>
      </c>
      <c r="J191" t="s">
        <v>133</v>
      </c>
      <c r="K191">
        <v>259</v>
      </c>
      <c r="L191" t="s">
        <v>36</v>
      </c>
      <c r="M191" t="s">
        <v>25</v>
      </c>
      <c r="N191" t="s">
        <v>180</v>
      </c>
      <c r="O191" t="s">
        <v>181</v>
      </c>
    </row>
    <row r="192" spans="1:15" x14ac:dyDescent="0.3">
      <c r="A192" t="s">
        <v>133</v>
      </c>
      <c r="B192" t="s">
        <v>22</v>
      </c>
      <c r="C192" t="s">
        <v>211</v>
      </c>
      <c r="D192">
        <v>142</v>
      </c>
      <c r="E192" t="s">
        <v>391</v>
      </c>
      <c r="F192" t="s">
        <v>37</v>
      </c>
      <c r="G192" t="s">
        <v>25</v>
      </c>
      <c r="I192" t="s">
        <v>133</v>
      </c>
      <c r="J192" t="s">
        <v>133</v>
      </c>
      <c r="K192">
        <v>259</v>
      </c>
      <c r="L192" t="s">
        <v>36</v>
      </c>
      <c r="M192" t="s">
        <v>25</v>
      </c>
      <c r="N192" t="s">
        <v>180</v>
      </c>
      <c r="O192" t="s">
        <v>181</v>
      </c>
    </row>
    <row r="193" spans="1:15" x14ac:dyDescent="0.3">
      <c r="A193" t="s">
        <v>133</v>
      </c>
      <c r="B193" t="s">
        <v>22</v>
      </c>
      <c r="C193" t="s">
        <v>211</v>
      </c>
      <c r="D193">
        <v>245</v>
      </c>
      <c r="E193" t="s">
        <v>391</v>
      </c>
      <c r="F193" t="s">
        <v>37</v>
      </c>
      <c r="G193" t="s">
        <v>25</v>
      </c>
      <c r="I193" t="s">
        <v>133</v>
      </c>
      <c r="J193" t="s">
        <v>133</v>
      </c>
      <c r="K193">
        <v>259</v>
      </c>
      <c r="L193" t="s">
        <v>36</v>
      </c>
      <c r="M193" t="s">
        <v>25</v>
      </c>
      <c r="N193" t="s">
        <v>180</v>
      </c>
      <c r="O193" t="s">
        <v>181</v>
      </c>
    </row>
    <row r="194" spans="1:15" x14ac:dyDescent="0.3">
      <c r="A194" t="s">
        <v>133</v>
      </c>
      <c r="B194" t="s">
        <v>22</v>
      </c>
      <c r="C194" t="s">
        <v>211</v>
      </c>
      <c r="D194">
        <v>266</v>
      </c>
      <c r="E194" t="s">
        <v>391</v>
      </c>
      <c r="F194" t="s">
        <v>37</v>
      </c>
      <c r="G194" t="s">
        <v>25</v>
      </c>
      <c r="I194" t="s">
        <v>133</v>
      </c>
      <c r="J194" t="s">
        <v>133</v>
      </c>
      <c r="K194">
        <v>259</v>
      </c>
      <c r="L194" t="s">
        <v>36</v>
      </c>
      <c r="M194" t="s">
        <v>25</v>
      </c>
      <c r="N194" t="s">
        <v>180</v>
      </c>
      <c r="O194" t="s">
        <v>181</v>
      </c>
    </row>
    <row r="195" spans="1:15" x14ac:dyDescent="0.3">
      <c r="A195" t="s">
        <v>133</v>
      </c>
      <c r="B195" t="s">
        <v>22</v>
      </c>
      <c r="C195" t="s">
        <v>212</v>
      </c>
      <c r="D195">
        <v>120</v>
      </c>
      <c r="E195" t="s">
        <v>391</v>
      </c>
      <c r="F195" t="s">
        <v>37</v>
      </c>
      <c r="G195" t="s">
        <v>25</v>
      </c>
      <c r="I195" t="s">
        <v>133</v>
      </c>
      <c r="J195" t="s">
        <v>133</v>
      </c>
      <c r="K195">
        <v>259</v>
      </c>
      <c r="L195" t="s">
        <v>36</v>
      </c>
      <c r="M195" t="s">
        <v>25</v>
      </c>
      <c r="N195" t="s">
        <v>180</v>
      </c>
      <c r="O195" t="s">
        <v>181</v>
      </c>
    </row>
    <row r="196" spans="1:15" x14ac:dyDescent="0.3">
      <c r="A196" t="s">
        <v>133</v>
      </c>
      <c r="B196" t="s">
        <v>22</v>
      </c>
      <c r="C196" t="s">
        <v>212</v>
      </c>
      <c r="D196">
        <v>153</v>
      </c>
      <c r="E196" t="s">
        <v>391</v>
      </c>
      <c r="F196" t="s">
        <v>37</v>
      </c>
      <c r="G196" t="s">
        <v>25</v>
      </c>
      <c r="I196" t="s">
        <v>133</v>
      </c>
      <c r="J196" t="s">
        <v>133</v>
      </c>
      <c r="K196">
        <v>259</v>
      </c>
      <c r="L196" t="s">
        <v>36</v>
      </c>
      <c r="M196" t="s">
        <v>25</v>
      </c>
      <c r="N196" t="s">
        <v>180</v>
      </c>
      <c r="O196" t="s">
        <v>181</v>
      </c>
    </row>
    <row r="197" spans="1:15" x14ac:dyDescent="0.3">
      <c r="A197" t="s">
        <v>133</v>
      </c>
      <c r="B197" t="s">
        <v>22</v>
      </c>
      <c r="C197" t="s">
        <v>213</v>
      </c>
      <c r="D197">
        <v>18</v>
      </c>
      <c r="E197" t="s">
        <v>391</v>
      </c>
      <c r="F197" t="s">
        <v>37</v>
      </c>
      <c r="G197" t="s">
        <v>25</v>
      </c>
      <c r="I197" t="s">
        <v>133</v>
      </c>
      <c r="J197" t="s">
        <v>133</v>
      </c>
      <c r="K197">
        <v>259</v>
      </c>
      <c r="L197" t="s">
        <v>36</v>
      </c>
      <c r="M197" t="s">
        <v>25</v>
      </c>
      <c r="N197" t="s">
        <v>180</v>
      </c>
      <c r="O197" t="s">
        <v>181</v>
      </c>
    </row>
    <row r="198" spans="1:15" x14ac:dyDescent="0.3">
      <c r="A198" t="s">
        <v>133</v>
      </c>
      <c r="B198" t="s">
        <v>22</v>
      </c>
      <c r="C198" t="s">
        <v>213</v>
      </c>
      <c r="D198">
        <v>119</v>
      </c>
      <c r="E198" t="s">
        <v>391</v>
      </c>
      <c r="F198" t="s">
        <v>37</v>
      </c>
      <c r="G198" t="s">
        <v>25</v>
      </c>
      <c r="I198" t="s">
        <v>133</v>
      </c>
      <c r="J198" t="s">
        <v>133</v>
      </c>
      <c r="K198">
        <v>259</v>
      </c>
      <c r="L198" t="s">
        <v>36</v>
      </c>
      <c r="M198" t="s">
        <v>25</v>
      </c>
      <c r="N198" t="s">
        <v>180</v>
      </c>
      <c r="O198" t="s">
        <v>181</v>
      </c>
    </row>
    <row r="199" spans="1:15" x14ac:dyDescent="0.3">
      <c r="A199" t="s">
        <v>133</v>
      </c>
      <c r="B199" t="s">
        <v>22</v>
      </c>
      <c r="C199" t="s">
        <v>213</v>
      </c>
      <c r="D199">
        <v>140</v>
      </c>
      <c r="E199" t="s">
        <v>391</v>
      </c>
      <c r="F199" t="s">
        <v>37</v>
      </c>
      <c r="G199" t="s">
        <v>25</v>
      </c>
      <c r="I199" t="s">
        <v>133</v>
      </c>
      <c r="J199" t="s">
        <v>133</v>
      </c>
      <c r="K199">
        <v>259</v>
      </c>
      <c r="L199" t="s">
        <v>36</v>
      </c>
      <c r="M199" t="s">
        <v>25</v>
      </c>
      <c r="N199" t="s">
        <v>180</v>
      </c>
      <c r="O199" t="s">
        <v>181</v>
      </c>
    </row>
    <row r="200" spans="1:15" x14ac:dyDescent="0.3">
      <c r="A200" t="s">
        <v>133</v>
      </c>
      <c r="B200" t="s">
        <v>22</v>
      </c>
      <c r="C200" t="s">
        <v>213</v>
      </c>
      <c r="D200">
        <v>37</v>
      </c>
      <c r="E200" t="s">
        <v>391</v>
      </c>
      <c r="F200" t="s">
        <v>37</v>
      </c>
      <c r="G200" t="s">
        <v>25</v>
      </c>
      <c r="I200" t="s">
        <v>133</v>
      </c>
      <c r="J200" t="s">
        <v>133</v>
      </c>
      <c r="K200">
        <v>259</v>
      </c>
      <c r="L200" t="s">
        <v>36</v>
      </c>
      <c r="M200" t="s">
        <v>25</v>
      </c>
      <c r="N200" t="s">
        <v>180</v>
      </c>
      <c r="O200" t="s">
        <v>181</v>
      </c>
    </row>
    <row r="201" spans="1:15" x14ac:dyDescent="0.3">
      <c r="A201" t="s">
        <v>133</v>
      </c>
      <c r="B201" t="s">
        <v>22</v>
      </c>
      <c r="C201" t="s">
        <v>213</v>
      </c>
      <c r="D201">
        <v>64</v>
      </c>
      <c r="E201" t="s">
        <v>391</v>
      </c>
      <c r="F201" t="s">
        <v>37</v>
      </c>
      <c r="G201" t="s">
        <v>25</v>
      </c>
      <c r="I201" t="s">
        <v>133</v>
      </c>
      <c r="J201" t="s">
        <v>133</v>
      </c>
      <c r="K201">
        <v>259</v>
      </c>
      <c r="L201" t="s">
        <v>36</v>
      </c>
      <c r="M201" t="s">
        <v>25</v>
      </c>
      <c r="N201" t="s">
        <v>180</v>
      </c>
      <c r="O201" t="s">
        <v>181</v>
      </c>
    </row>
    <row r="202" spans="1:15" x14ac:dyDescent="0.3">
      <c r="A202" t="s">
        <v>133</v>
      </c>
      <c r="B202" t="s">
        <v>22</v>
      </c>
      <c r="C202" t="s">
        <v>213</v>
      </c>
      <c r="D202">
        <v>80</v>
      </c>
      <c r="E202" t="s">
        <v>391</v>
      </c>
      <c r="F202" t="s">
        <v>37</v>
      </c>
      <c r="G202" t="s">
        <v>25</v>
      </c>
      <c r="I202" t="s">
        <v>133</v>
      </c>
      <c r="J202" t="s">
        <v>133</v>
      </c>
      <c r="K202">
        <v>259</v>
      </c>
      <c r="L202" t="s">
        <v>36</v>
      </c>
      <c r="M202" t="s">
        <v>25</v>
      </c>
      <c r="N202" t="s">
        <v>180</v>
      </c>
      <c r="O202" t="s">
        <v>181</v>
      </c>
    </row>
    <row r="203" spans="1:15" x14ac:dyDescent="0.3">
      <c r="A203" t="s">
        <v>133</v>
      </c>
      <c r="B203" t="s">
        <v>22</v>
      </c>
      <c r="C203" t="s">
        <v>213</v>
      </c>
      <c r="D203">
        <v>99</v>
      </c>
      <c r="E203" t="s">
        <v>391</v>
      </c>
      <c r="F203" t="s">
        <v>37</v>
      </c>
      <c r="G203" t="s">
        <v>25</v>
      </c>
      <c r="I203" t="s">
        <v>133</v>
      </c>
      <c r="J203" t="s">
        <v>133</v>
      </c>
      <c r="K203">
        <v>259</v>
      </c>
      <c r="L203" t="s">
        <v>36</v>
      </c>
      <c r="M203" t="s">
        <v>25</v>
      </c>
      <c r="N203" t="s">
        <v>180</v>
      </c>
      <c r="O203" t="s">
        <v>181</v>
      </c>
    </row>
    <row r="204" spans="1:15" x14ac:dyDescent="0.3">
      <c r="A204" t="s">
        <v>133</v>
      </c>
      <c r="B204" t="s">
        <v>22</v>
      </c>
      <c r="C204" t="s">
        <v>214</v>
      </c>
      <c r="D204">
        <v>89</v>
      </c>
      <c r="E204" t="s">
        <v>391</v>
      </c>
      <c r="F204" t="s">
        <v>37</v>
      </c>
      <c r="G204" t="s">
        <v>25</v>
      </c>
      <c r="I204" t="s">
        <v>133</v>
      </c>
      <c r="J204" t="s">
        <v>133</v>
      </c>
      <c r="K204">
        <v>259</v>
      </c>
      <c r="L204" t="s">
        <v>36</v>
      </c>
      <c r="M204" t="s">
        <v>25</v>
      </c>
      <c r="N204" t="s">
        <v>180</v>
      </c>
      <c r="O204" t="s">
        <v>181</v>
      </c>
    </row>
    <row r="205" spans="1:15" x14ac:dyDescent="0.3">
      <c r="A205" t="s">
        <v>133</v>
      </c>
      <c r="B205" t="s">
        <v>22</v>
      </c>
      <c r="C205" t="s">
        <v>214</v>
      </c>
      <c r="D205">
        <v>35</v>
      </c>
      <c r="E205" t="s">
        <v>391</v>
      </c>
      <c r="F205" t="s">
        <v>37</v>
      </c>
      <c r="G205" t="s">
        <v>25</v>
      </c>
      <c r="I205" t="s">
        <v>133</v>
      </c>
      <c r="J205" t="s">
        <v>133</v>
      </c>
      <c r="K205">
        <v>259</v>
      </c>
      <c r="L205" t="s">
        <v>36</v>
      </c>
      <c r="M205" t="s">
        <v>25</v>
      </c>
      <c r="N205" t="s">
        <v>180</v>
      </c>
      <c r="O205" t="s">
        <v>181</v>
      </c>
    </row>
    <row r="206" spans="1:15" x14ac:dyDescent="0.3">
      <c r="A206" t="s">
        <v>133</v>
      </c>
      <c r="B206" t="s">
        <v>22</v>
      </c>
      <c r="C206" t="s">
        <v>214</v>
      </c>
      <c r="D206">
        <v>53</v>
      </c>
      <c r="E206" t="s">
        <v>391</v>
      </c>
      <c r="F206" t="s">
        <v>37</v>
      </c>
      <c r="G206" t="s">
        <v>25</v>
      </c>
      <c r="I206" t="s">
        <v>133</v>
      </c>
      <c r="J206" t="s">
        <v>133</v>
      </c>
      <c r="K206">
        <v>259</v>
      </c>
      <c r="L206" t="s">
        <v>36</v>
      </c>
      <c r="M206" t="s">
        <v>25</v>
      </c>
      <c r="N206" t="s">
        <v>180</v>
      </c>
      <c r="O206" t="s">
        <v>181</v>
      </c>
    </row>
    <row r="207" spans="1:15" x14ac:dyDescent="0.3">
      <c r="A207" t="s">
        <v>133</v>
      </c>
      <c r="B207" t="s">
        <v>22</v>
      </c>
      <c r="C207" t="s">
        <v>214</v>
      </c>
      <c r="D207">
        <v>71</v>
      </c>
      <c r="E207" t="s">
        <v>391</v>
      </c>
      <c r="F207" t="s">
        <v>37</v>
      </c>
      <c r="G207" t="s">
        <v>25</v>
      </c>
      <c r="I207" t="s">
        <v>133</v>
      </c>
      <c r="J207" t="s">
        <v>133</v>
      </c>
      <c r="K207">
        <v>259</v>
      </c>
      <c r="L207" t="s">
        <v>36</v>
      </c>
      <c r="M207" t="s">
        <v>25</v>
      </c>
      <c r="N207" t="s">
        <v>180</v>
      </c>
      <c r="O207" t="s">
        <v>181</v>
      </c>
    </row>
    <row r="208" spans="1:15" x14ac:dyDescent="0.3">
      <c r="A208" t="s">
        <v>133</v>
      </c>
      <c r="B208" t="s">
        <v>22</v>
      </c>
      <c r="C208" t="s">
        <v>214</v>
      </c>
      <c r="D208">
        <v>105</v>
      </c>
      <c r="E208" t="s">
        <v>391</v>
      </c>
      <c r="F208" t="s">
        <v>37</v>
      </c>
      <c r="G208" t="s">
        <v>25</v>
      </c>
      <c r="I208" t="s">
        <v>133</v>
      </c>
      <c r="J208" t="s">
        <v>133</v>
      </c>
      <c r="K208">
        <v>259</v>
      </c>
      <c r="L208" t="s">
        <v>36</v>
      </c>
      <c r="M208" t="s">
        <v>25</v>
      </c>
      <c r="N208" t="s">
        <v>180</v>
      </c>
      <c r="O208" t="s">
        <v>181</v>
      </c>
    </row>
    <row r="209" spans="1:15" x14ac:dyDescent="0.3">
      <c r="A209" t="s">
        <v>133</v>
      </c>
      <c r="B209" t="s">
        <v>22</v>
      </c>
      <c r="C209" t="s">
        <v>214</v>
      </c>
      <c r="D209">
        <v>129</v>
      </c>
      <c r="E209" t="s">
        <v>391</v>
      </c>
      <c r="F209" t="s">
        <v>37</v>
      </c>
      <c r="G209" t="s">
        <v>25</v>
      </c>
      <c r="I209" t="s">
        <v>133</v>
      </c>
      <c r="J209" t="s">
        <v>133</v>
      </c>
      <c r="K209">
        <v>259</v>
      </c>
      <c r="L209" t="s">
        <v>36</v>
      </c>
      <c r="M209" t="s">
        <v>25</v>
      </c>
      <c r="N209" t="s">
        <v>180</v>
      </c>
      <c r="O209" t="s">
        <v>181</v>
      </c>
    </row>
    <row r="210" spans="1:15" x14ac:dyDescent="0.3">
      <c r="A210" t="s">
        <v>133</v>
      </c>
      <c r="B210" t="s">
        <v>22</v>
      </c>
      <c r="C210" t="s">
        <v>214</v>
      </c>
      <c r="D210">
        <v>149</v>
      </c>
      <c r="E210" t="s">
        <v>391</v>
      </c>
      <c r="F210" t="s">
        <v>37</v>
      </c>
      <c r="G210" t="s">
        <v>25</v>
      </c>
      <c r="I210" t="s">
        <v>133</v>
      </c>
      <c r="J210" t="s">
        <v>133</v>
      </c>
      <c r="K210">
        <v>259</v>
      </c>
      <c r="L210" t="s">
        <v>36</v>
      </c>
      <c r="M210" t="s">
        <v>25</v>
      </c>
      <c r="N210" t="s">
        <v>180</v>
      </c>
      <c r="O210" t="s">
        <v>181</v>
      </c>
    </row>
    <row r="211" spans="1:15" x14ac:dyDescent="0.3">
      <c r="A211" t="s">
        <v>133</v>
      </c>
      <c r="B211" t="s">
        <v>22</v>
      </c>
      <c r="C211" t="s">
        <v>214</v>
      </c>
      <c r="D211">
        <v>170</v>
      </c>
      <c r="E211" t="s">
        <v>391</v>
      </c>
      <c r="F211" t="s">
        <v>37</v>
      </c>
      <c r="G211" t="s">
        <v>25</v>
      </c>
      <c r="I211" t="s">
        <v>133</v>
      </c>
      <c r="J211" t="s">
        <v>133</v>
      </c>
      <c r="K211">
        <v>259</v>
      </c>
      <c r="L211" t="s">
        <v>36</v>
      </c>
      <c r="M211" t="s">
        <v>25</v>
      </c>
      <c r="N211" t="s">
        <v>180</v>
      </c>
      <c r="O211" t="s">
        <v>181</v>
      </c>
    </row>
    <row r="212" spans="1:15" x14ac:dyDescent="0.3">
      <c r="A212" t="s">
        <v>133</v>
      </c>
      <c r="B212" t="s">
        <v>22</v>
      </c>
      <c r="C212" t="s">
        <v>214</v>
      </c>
      <c r="D212">
        <v>191</v>
      </c>
      <c r="E212" t="s">
        <v>391</v>
      </c>
      <c r="F212" t="s">
        <v>37</v>
      </c>
      <c r="G212" t="s">
        <v>25</v>
      </c>
      <c r="I212" t="s">
        <v>133</v>
      </c>
      <c r="J212" t="s">
        <v>133</v>
      </c>
      <c r="K212">
        <v>259</v>
      </c>
      <c r="L212" t="s">
        <v>36</v>
      </c>
      <c r="M212" t="s">
        <v>25</v>
      </c>
      <c r="N212" t="s">
        <v>180</v>
      </c>
      <c r="O212" t="s">
        <v>181</v>
      </c>
    </row>
    <row r="213" spans="1:15" x14ac:dyDescent="0.3">
      <c r="A213" t="s">
        <v>133</v>
      </c>
      <c r="B213" t="s">
        <v>22</v>
      </c>
      <c r="C213" t="s">
        <v>215</v>
      </c>
      <c r="D213">
        <v>23</v>
      </c>
      <c r="E213" t="s">
        <v>391</v>
      </c>
      <c r="F213" t="s">
        <v>37</v>
      </c>
      <c r="G213" t="s">
        <v>25</v>
      </c>
      <c r="I213" t="s">
        <v>133</v>
      </c>
      <c r="J213" t="s">
        <v>133</v>
      </c>
      <c r="K213">
        <v>259</v>
      </c>
      <c r="L213" t="s">
        <v>36</v>
      </c>
      <c r="M213" t="s">
        <v>25</v>
      </c>
      <c r="N213" t="s">
        <v>180</v>
      </c>
      <c r="O213" t="s">
        <v>181</v>
      </c>
    </row>
    <row r="214" spans="1:15" x14ac:dyDescent="0.3">
      <c r="A214" t="s">
        <v>133</v>
      </c>
      <c r="B214" t="s">
        <v>22</v>
      </c>
      <c r="C214" t="s">
        <v>215</v>
      </c>
      <c r="D214">
        <v>52</v>
      </c>
      <c r="E214" t="s">
        <v>391</v>
      </c>
      <c r="F214" t="s">
        <v>37</v>
      </c>
      <c r="G214" t="s">
        <v>25</v>
      </c>
      <c r="I214" t="s">
        <v>133</v>
      </c>
      <c r="J214" t="s">
        <v>133</v>
      </c>
      <c r="K214">
        <v>259</v>
      </c>
      <c r="L214" t="s">
        <v>36</v>
      </c>
      <c r="M214" t="s">
        <v>25</v>
      </c>
      <c r="N214" t="s">
        <v>180</v>
      </c>
      <c r="O214" t="s">
        <v>181</v>
      </c>
    </row>
    <row r="215" spans="1:15" x14ac:dyDescent="0.3">
      <c r="A215" t="s">
        <v>133</v>
      </c>
      <c r="B215" t="s">
        <v>22</v>
      </c>
      <c r="C215" t="s">
        <v>215</v>
      </c>
      <c r="D215">
        <v>83</v>
      </c>
      <c r="E215" t="s">
        <v>391</v>
      </c>
      <c r="F215" t="s">
        <v>37</v>
      </c>
      <c r="G215" t="s">
        <v>25</v>
      </c>
      <c r="I215" t="s">
        <v>133</v>
      </c>
      <c r="J215" t="s">
        <v>133</v>
      </c>
      <c r="K215">
        <v>259</v>
      </c>
      <c r="L215" t="s">
        <v>36</v>
      </c>
      <c r="M215" t="s">
        <v>25</v>
      </c>
      <c r="N215" t="s">
        <v>180</v>
      </c>
      <c r="O215" t="s">
        <v>181</v>
      </c>
    </row>
    <row r="216" spans="1:15" x14ac:dyDescent="0.3">
      <c r="A216" t="s">
        <v>133</v>
      </c>
      <c r="B216" t="s">
        <v>22</v>
      </c>
      <c r="C216" t="s">
        <v>215</v>
      </c>
      <c r="D216">
        <v>111</v>
      </c>
      <c r="E216" t="s">
        <v>391</v>
      </c>
      <c r="F216" t="s">
        <v>37</v>
      </c>
      <c r="G216" t="s">
        <v>25</v>
      </c>
      <c r="I216" t="s">
        <v>133</v>
      </c>
      <c r="J216" t="s">
        <v>133</v>
      </c>
      <c r="K216">
        <v>259</v>
      </c>
      <c r="L216" t="s">
        <v>36</v>
      </c>
      <c r="M216" t="s">
        <v>25</v>
      </c>
      <c r="N216" t="s">
        <v>180</v>
      </c>
      <c r="O216" t="s">
        <v>181</v>
      </c>
    </row>
    <row r="217" spans="1:15" x14ac:dyDescent="0.3">
      <c r="A217" t="s">
        <v>133</v>
      </c>
      <c r="B217" t="s">
        <v>22</v>
      </c>
      <c r="C217" t="s">
        <v>216</v>
      </c>
      <c r="D217">
        <v>21</v>
      </c>
      <c r="E217" t="s">
        <v>391</v>
      </c>
      <c r="F217" t="s">
        <v>37</v>
      </c>
      <c r="G217" t="s">
        <v>25</v>
      </c>
      <c r="I217" t="s">
        <v>133</v>
      </c>
      <c r="J217" t="s">
        <v>133</v>
      </c>
      <c r="K217">
        <v>259</v>
      </c>
      <c r="L217" t="s">
        <v>36</v>
      </c>
      <c r="M217" t="s">
        <v>25</v>
      </c>
      <c r="N217" t="s">
        <v>180</v>
      </c>
      <c r="O217" t="s">
        <v>181</v>
      </c>
    </row>
    <row r="218" spans="1:15" x14ac:dyDescent="0.3">
      <c r="A218" t="s">
        <v>133</v>
      </c>
      <c r="B218" t="s">
        <v>22</v>
      </c>
      <c r="C218" t="s">
        <v>216</v>
      </c>
      <c r="D218">
        <v>48</v>
      </c>
      <c r="E218" t="s">
        <v>391</v>
      </c>
      <c r="F218" t="s">
        <v>37</v>
      </c>
      <c r="G218" t="s">
        <v>25</v>
      </c>
      <c r="I218" t="s">
        <v>133</v>
      </c>
      <c r="J218" t="s">
        <v>133</v>
      </c>
      <c r="K218">
        <v>259</v>
      </c>
      <c r="L218" t="s">
        <v>36</v>
      </c>
      <c r="M218" t="s">
        <v>25</v>
      </c>
      <c r="N218" t="s">
        <v>180</v>
      </c>
      <c r="O218" t="s">
        <v>181</v>
      </c>
    </row>
    <row r="219" spans="1:15" x14ac:dyDescent="0.3">
      <c r="A219" t="s">
        <v>133</v>
      </c>
      <c r="B219" t="s">
        <v>22</v>
      </c>
      <c r="C219" t="s">
        <v>216</v>
      </c>
      <c r="D219">
        <v>77</v>
      </c>
      <c r="E219" t="s">
        <v>391</v>
      </c>
      <c r="F219" t="s">
        <v>37</v>
      </c>
      <c r="G219" t="s">
        <v>25</v>
      </c>
      <c r="I219" t="s">
        <v>133</v>
      </c>
      <c r="J219" t="s">
        <v>133</v>
      </c>
      <c r="K219">
        <v>259</v>
      </c>
      <c r="L219" t="s">
        <v>36</v>
      </c>
      <c r="M219" t="s">
        <v>25</v>
      </c>
      <c r="N219" t="s">
        <v>180</v>
      </c>
      <c r="O219" t="s">
        <v>181</v>
      </c>
    </row>
    <row r="220" spans="1:15" x14ac:dyDescent="0.3">
      <c r="A220" t="s">
        <v>133</v>
      </c>
      <c r="B220" t="s">
        <v>22</v>
      </c>
      <c r="C220" t="s">
        <v>216</v>
      </c>
      <c r="D220">
        <v>112</v>
      </c>
      <c r="E220" t="s">
        <v>391</v>
      </c>
      <c r="F220" t="s">
        <v>37</v>
      </c>
      <c r="G220" t="s">
        <v>25</v>
      </c>
      <c r="I220" t="s">
        <v>133</v>
      </c>
      <c r="J220" t="s">
        <v>133</v>
      </c>
      <c r="K220">
        <v>259</v>
      </c>
      <c r="L220" t="s">
        <v>36</v>
      </c>
      <c r="M220" t="s">
        <v>25</v>
      </c>
      <c r="N220" t="s">
        <v>180</v>
      </c>
      <c r="O220" t="s">
        <v>181</v>
      </c>
    </row>
    <row r="221" spans="1:15" x14ac:dyDescent="0.3">
      <c r="A221" t="s">
        <v>133</v>
      </c>
      <c r="B221" t="s">
        <v>22</v>
      </c>
      <c r="C221" t="s">
        <v>216</v>
      </c>
      <c r="D221">
        <v>152</v>
      </c>
      <c r="E221" t="s">
        <v>391</v>
      </c>
      <c r="F221" t="s">
        <v>37</v>
      </c>
      <c r="G221" t="s">
        <v>25</v>
      </c>
      <c r="I221" t="s">
        <v>133</v>
      </c>
      <c r="J221" t="s">
        <v>133</v>
      </c>
      <c r="K221">
        <v>259</v>
      </c>
      <c r="L221" t="s">
        <v>36</v>
      </c>
      <c r="M221" t="s">
        <v>25</v>
      </c>
      <c r="N221" t="s">
        <v>180</v>
      </c>
      <c r="O221" t="s">
        <v>181</v>
      </c>
    </row>
    <row r="222" spans="1:15" x14ac:dyDescent="0.3">
      <c r="A222" t="s">
        <v>133</v>
      </c>
      <c r="B222" t="s">
        <v>22</v>
      </c>
      <c r="C222" t="s">
        <v>216</v>
      </c>
      <c r="D222">
        <v>194</v>
      </c>
      <c r="E222" t="s">
        <v>391</v>
      </c>
      <c r="F222" t="s">
        <v>37</v>
      </c>
      <c r="G222" t="s">
        <v>25</v>
      </c>
      <c r="I222" t="s">
        <v>133</v>
      </c>
      <c r="J222" t="s">
        <v>133</v>
      </c>
      <c r="K222">
        <v>259</v>
      </c>
      <c r="L222" t="s">
        <v>36</v>
      </c>
      <c r="M222" t="s">
        <v>25</v>
      </c>
      <c r="N222" t="s">
        <v>180</v>
      </c>
      <c r="O222" t="s">
        <v>181</v>
      </c>
    </row>
    <row r="223" spans="1:15" x14ac:dyDescent="0.3">
      <c r="A223" t="s">
        <v>133</v>
      </c>
      <c r="B223" t="s">
        <v>22</v>
      </c>
      <c r="C223" t="s">
        <v>216</v>
      </c>
      <c r="D223">
        <v>234</v>
      </c>
      <c r="E223" t="s">
        <v>391</v>
      </c>
      <c r="F223" t="s">
        <v>37</v>
      </c>
      <c r="G223" t="s">
        <v>25</v>
      </c>
      <c r="I223" t="s">
        <v>133</v>
      </c>
      <c r="J223" t="s">
        <v>133</v>
      </c>
      <c r="K223">
        <v>259</v>
      </c>
      <c r="L223" t="s">
        <v>36</v>
      </c>
      <c r="M223" t="s">
        <v>25</v>
      </c>
      <c r="N223" t="s">
        <v>180</v>
      </c>
      <c r="O223" t="s">
        <v>181</v>
      </c>
    </row>
    <row r="224" spans="1:15" x14ac:dyDescent="0.3">
      <c r="A224" t="s">
        <v>133</v>
      </c>
      <c r="B224" t="s">
        <v>22</v>
      </c>
      <c r="C224" t="s">
        <v>216</v>
      </c>
      <c r="D224">
        <v>282</v>
      </c>
      <c r="E224" t="s">
        <v>391</v>
      </c>
      <c r="F224" t="s">
        <v>37</v>
      </c>
      <c r="G224" t="s">
        <v>25</v>
      </c>
      <c r="I224" t="s">
        <v>133</v>
      </c>
      <c r="J224" t="s">
        <v>133</v>
      </c>
      <c r="K224">
        <v>259</v>
      </c>
      <c r="L224" t="s">
        <v>36</v>
      </c>
      <c r="M224" t="s">
        <v>25</v>
      </c>
      <c r="N224" t="s">
        <v>180</v>
      </c>
      <c r="O224" t="s">
        <v>181</v>
      </c>
    </row>
    <row r="225" spans="1:15" x14ac:dyDescent="0.3">
      <c r="A225" t="s">
        <v>133</v>
      </c>
      <c r="B225" t="s">
        <v>22</v>
      </c>
      <c r="C225" t="s">
        <v>216</v>
      </c>
      <c r="D225">
        <v>332</v>
      </c>
      <c r="E225" t="s">
        <v>391</v>
      </c>
      <c r="F225" t="s">
        <v>37</v>
      </c>
      <c r="G225" t="s">
        <v>25</v>
      </c>
      <c r="I225" t="s">
        <v>133</v>
      </c>
      <c r="J225" t="s">
        <v>133</v>
      </c>
      <c r="K225">
        <v>259</v>
      </c>
      <c r="L225" t="s">
        <v>36</v>
      </c>
      <c r="M225" t="s">
        <v>25</v>
      </c>
      <c r="N225" t="s">
        <v>180</v>
      </c>
      <c r="O225" t="s">
        <v>181</v>
      </c>
    </row>
    <row r="226" spans="1:15" x14ac:dyDescent="0.3">
      <c r="A226" t="s">
        <v>133</v>
      </c>
      <c r="B226" t="s">
        <v>22</v>
      </c>
      <c r="C226" t="s">
        <v>217</v>
      </c>
      <c r="D226">
        <v>25</v>
      </c>
      <c r="E226" t="s">
        <v>391</v>
      </c>
      <c r="F226" t="s">
        <v>37</v>
      </c>
      <c r="G226" t="s">
        <v>25</v>
      </c>
      <c r="I226" t="s">
        <v>133</v>
      </c>
      <c r="J226" t="s">
        <v>133</v>
      </c>
      <c r="K226">
        <v>259</v>
      </c>
      <c r="L226" t="s">
        <v>36</v>
      </c>
      <c r="M226" t="s">
        <v>25</v>
      </c>
      <c r="N226" t="s">
        <v>180</v>
      </c>
      <c r="O226" t="s">
        <v>181</v>
      </c>
    </row>
    <row r="227" spans="1:15" x14ac:dyDescent="0.3">
      <c r="A227" t="s">
        <v>133</v>
      </c>
      <c r="B227" t="s">
        <v>22</v>
      </c>
      <c r="C227" t="s">
        <v>217</v>
      </c>
      <c r="D227">
        <v>101</v>
      </c>
      <c r="E227" t="s">
        <v>391</v>
      </c>
      <c r="F227" t="s">
        <v>37</v>
      </c>
      <c r="G227" t="s">
        <v>25</v>
      </c>
      <c r="I227" t="s">
        <v>133</v>
      </c>
      <c r="J227" t="s">
        <v>133</v>
      </c>
      <c r="K227">
        <v>259</v>
      </c>
      <c r="L227" t="s">
        <v>36</v>
      </c>
      <c r="M227" t="s">
        <v>25</v>
      </c>
      <c r="N227" t="s">
        <v>180</v>
      </c>
      <c r="O227" t="s">
        <v>181</v>
      </c>
    </row>
    <row r="228" spans="1:15" x14ac:dyDescent="0.3">
      <c r="A228" t="s">
        <v>133</v>
      </c>
      <c r="B228" t="s">
        <v>22</v>
      </c>
      <c r="C228" t="s">
        <v>218</v>
      </c>
      <c r="D228">
        <v>56</v>
      </c>
      <c r="E228" t="s">
        <v>391</v>
      </c>
      <c r="F228" t="s">
        <v>37</v>
      </c>
      <c r="G228" t="s">
        <v>25</v>
      </c>
      <c r="I228" t="s">
        <v>133</v>
      </c>
      <c r="J228" t="s">
        <v>133</v>
      </c>
      <c r="K228">
        <v>259</v>
      </c>
      <c r="L228" t="s">
        <v>36</v>
      </c>
      <c r="M228" t="s">
        <v>25</v>
      </c>
      <c r="N228" t="s">
        <v>180</v>
      </c>
      <c r="O228" t="s">
        <v>181</v>
      </c>
    </row>
    <row r="229" spans="1:15" x14ac:dyDescent="0.3">
      <c r="A229" t="s">
        <v>133</v>
      </c>
      <c r="B229" t="s">
        <v>22</v>
      </c>
      <c r="C229" t="s">
        <v>218</v>
      </c>
      <c r="D229">
        <v>108</v>
      </c>
      <c r="E229" t="s">
        <v>391</v>
      </c>
      <c r="F229" t="s">
        <v>37</v>
      </c>
      <c r="G229" t="s">
        <v>25</v>
      </c>
      <c r="I229" t="s">
        <v>133</v>
      </c>
      <c r="J229" t="s">
        <v>133</v>
      </c>
      <c r="K229">
        <v>259</v>
      </c>
      <c r="L229" t="s">
        <v>36</v>
      </c>
      <c r="M229" t="s">
        <v>25</v>
      </c>
      <c r="N229" t="s">
        <v>180</v>
      </c>
      <c r="O229" t="s">
        <v>181</v>
      </c>
    </row>
    <row r="230" spans="1:15" x14ac:dyDescent="0.3">
      <c r="A230" t="s">
        <v>133</v>
      </c>
      <c r="B230" t="s">
        <v>22</v>
      </c>
      <c r="C230" t="s">
        <v>218</v>
      </c>
      <c r="D230">
        <v>140</v>
      </c>
      <c r="E230" t="s">
        <v>391</v>
      </c>
      <c r="F230" t="s">
        <v>37</v>
      </c>
      <c r="G230" t="s">
        <v>25</v>
      </c>
      <c r="I230" t="s">
        <v>133</v>
      </c>
      <c r="J230" t="s">
        <v>133</v>
      </c>
      <c r="K230">
        <v>259</v>
      </c>
      <c r="L230" t="s">
        <v>36</v>
      </c>
      <c r="M230" t="s">
        <v>25</v>
      </c>
      <c r="N230" t="s">
        <v>180</v>
      </c>
      <c r="O230" t="s">
        <v>181</v>
      </c>
    </row>
    <row r="231" spans="1:15" x14ac:dyDescent="0.3">
      <c r="A231" t="s">
        <v>133</v>
      </c>
      <c r="B231" t="s">
        <v>22</v>
      </c>
      <c r="C231" t="s">
        <v>218</v>
      </c>
      <c r="D231">
        <v>174</v>
      </c>
      <c r="E231" t="s">
        <v>391</v>
      </c>
      <c r="F231" t="s">
        <v>37</v>
      </c>
      <c r="G231" t="s">
        <v>25</v>
      </c>
      <c r="I231" t="s">
        <v>133</v>
      </c>
      <c r="J231" t="s">
        <v>133</v>
      </c>
      <c r="K231">
        <v>259</v>
      </c>
      <c r="L231" t="s">
        <v>36</v>
      </c>
      <c r="M231" t="s">
        <v>25</v>
      </c>
      <c r="N231" t="s">
        <v>180</v>
      </c>
      <c r="O231" t="s">
        <v>181</v>
      </c>
    </row>
    <row r="232" spans="1:15" x14ac:dyDescent="0.3">
      <c r="A232" t="s">
        <v>133</v>
      </c>
      <c r="B232" t="s">
        <v>22</v>
      </c>
      <c r="C232" t="s">
        <v>218</v>
      </c>
      <c r="D232">
        <v>205</v>
      </c>
      <c r="E232" t="s">
        <v>391</v>
      </c>
      <c r="F232" t="s">
        <v>37</v>
      </c>
      <c r="G232" t="s">
        <v>25</v>
      </c>
      <c r="I232" t="s">
        <v>133</v>
      </c>
      <c r="J232" t="s">
        <v>133</v>
      </c>
      <c r="K232">
        <v>259</v>
      </c>
      <c r="L232" t="s">
        <v>36</v>
      </c>
      <c r="M232" t="s">
        <v>25</v>
      </c>
      <c r="N232" t="s">
        <v>180</v>
      </c>
      <c r="O232" t="s">
        <v>181</v>
      </c>
    </row>
    <row r="233" spans="1:15" x14ac:dyDescent="0.3">
      <c r="A233" t="s">
        <v>133</v>
      </c>
      <c r="B233" t="s">
        <v>22</v>
      </c>
      <c r="C233" t="s">
        <v>218</v>
      </c>
      <c r="D233">
        <v>250</v>
      </c>
      <c r="E233" t="s">
        <v>391</v>
      </c>
      <c r="F233" t="s">
        <v>37</v>
      </c>
      <c r="G233" t="s">
        <v>25</v>
      </c>
      <c r="I233" t="s">
        <v>133</v>
      </c>
      <c r="J233" t="s">
        <v>133</v>
      </c>
      <c r="K233">
        <v>259</v>
      </c>
      <c r="L233" t="s">
        <v>36</v>
      </c>
      <c r="M233" t="s">
        <v>25</v>
      </c>
      <c r="N233" t="s">
        <v>180</v>
      </c>
      <c r="O233" t="s">
        <v>181</v>
      </c>
    </row>
    <row r="234" spans="1:15" x14ac:dyDescent="0.3">
      <c r="A234" t="s">
        <v>133</v>
      </c>
      <c r="B234" t="s">
        <v>22</v>
      </c>
      <c r="C234" t="s">
        <v>218</v>
      </c>
      <c r="D234">
        <v>287</v>
      </c>
      <c r="E234" t="s">
        <v>391</v>
      </c>
      <c r="F234" t="s">
        <v>37</v>
      </c>
      <c r="G234" t="s">
        <v>25</v>
      </c>
      <c r="I234" t="s">
        <v>133</v>
      </c>
      <c r="J234" t="s">
        <v>133</v>
      </c>
      <c r="K234">
        <v>259</v>
      </c>
      <c r="L234" t="s">
        <v>36</v>
      </c>
      <c r="M234" t="s">
        <v>25</v>
      </c>
      <c r="N234" t="s">
        <v>180</v>
      </c>
      <c r="O234" t="s">
        <v>181</v>
      </c>
    </row>
    <row r="235" spans="1:15" x14ac:dyDescent="0.3">
      <c r="A235" t="s">
        <v>133</v>
      </c>
      <c r="B235" t="s">
        <v>22</v>
      </c>
      <c r="C235" t="s">
        <v>218</v>
      </c>
      <c r="D235">
        <v>295</v>
      </c>
      <c r="E235" t="s">
        <v>391</v>
      </c>
      <c r="F235" t="s">
        <v>37</v>
      </c>
      <c r="G235" t="s">
        <v>25</v>
      </c>
      <c r="I235" t="s">
        <v>133</v>
      </c>
      <c r="J235" t="s">
        <v>133</v>
      </c>
      <c r="K235">
        <v>259</v>
      </c>
      <c r="L235" t="s">
        <v>36</v>
      </c>
      <c r="M235" t="s">
        <v>25</v>
      </c>
      <c r="N235" t="s">
        <v>180</v>
      </c>
      <c r="O235" t="s">
        <v>181</v>
      </c>
    </row>
    <row r="236" spans="1:15" x14ac:dyDescent="0.3">
      <c r="A236" t="s">
        <v>133</v>
      </c>
      <c r="B236" t="s">
        <v>22</v>
      </c>
      <c r="C236" t="s">
        <v>218</v>
      </c>
      <c r="D236">
        <v>77</v>
      </c>
      <c r="E236" t="s">
        <v>391</v>
      </c>
      <c r="F236" t="s">
        <v>37</v>
      </c>
      <c r="G236" t="s">
        <v>25</v>
      </c>
      <c r="I236" t="s">
        <v>133</v>
      </c>
      <c r="J236" t="s">
        <v>133</v>
      </c>
      <c r="K236">
        <v>259</v>
      </c>
      <c r="L236" t="s">
        <v>36</v>
      </c>
      <c r="M236" t="s">
        <v>25</v>
      </c>
      <c r="N236" t="s">
        <v>180</v>
      </c>
      <c r="O236" t="s">
        <v>181</v>
      </c>
    </row>
    <row r="237" spans="1:15" x14ac:dyDescent="0.3">
      <c r="A237" t="s">
        <v>133</v>
      </c>
      <c r="B237" t="s">
        <v>22</v>
      </c>
      <c r="C237" t="s">
        <v>219</v>
      </c>
      <c r="D237">
        <v>21</v>
      </c>
      <c r="E237" t="s">
        <v>391</v>
      </c>
      <c r="F237" t="s">
        <v>37</v>
      </c>
      <c r="G237" t="s">
        <v>25</v>
      </c>
      <c r="I237" t="s">
        <v>133</v>
      </c>
      <c r="J237" t="s">
        <v>133</v>
      </c>
      <c r="K237">
        <v>259</v>
      </c>
      <c r="L237" t="s">
        <v>36</v>
      </c>
      <c r="M237" t="s">
        <v>25</v>
      </c>
      <c r="N237" t="s">
        <v>180</v>
      </c>
      <c r="O237" t="s">
        <v>181</v>
      </c>
    </row>
    <row r="238" spans="1:15" x14ac:dyDescent="0.3">
      <c r="A238" t="s">
        <v>133</v>
      </c>
      <c r="B238" t="s">
        <v>22</v>
      </c>
      <c r="C238" t="s">
        <v>219</v>
      </c>
      <c r="D238">
        <v>30</v>
      </c>
      <c r="E238" t="s">
        <v>391</v>
      </c>
      <c r="F238" t="s">
        <v>37</v>
      </c>
      <c r="G238" t="s">
        <v>25</v>
      </c>
      <c r="I238" t="s">
        <v>133</v>
      </c>
      <c r="J238" t="s">
        <v>133</v>
      </c>
      <c r="K238">
        <v>259</v>
      </c>
      <c r="L238" t="s">
        <v>36</v>
      </c>
      <c r="M238" t="s">
        <v>25</v>
      </c>
      <c r="N238" t="s">
        <v>180</v>
      </c>
      <c r="O238" t="s">
        <v>181</v>
      </c>
    </row>
    <row r="239" spans="1:15" x14ac:dyDescent="0.3">
      <c r="A239" t="s">
        <v>133</v>
      </c>
      <c r="B239" t="s">
        <v>22</v>
      </c>
      <c r="C239" t="s">
        <v>220</v>
      </c>
      <c r="D239">
        <v>174</v>
      </c>
      <c r="E239" t="s">
        <v>391</v>
      </c>
      <c r="F239" t="s">
        <v>37</v>
      </c>
      <c r="G239" t="s">
        <v>25</v>
      </c>
      <c r="I239" t="s">
        <v>133</v>
      </c>
      <c r="J239" t="s">
        <v>133</v>
      </c>
      <c r="K239">
        <v>259</v>
      </c>
      <c r="L239" t="s">
        <v>36</v>
      </c>
      <c r="M239" t="s">
        <v>25</v>
      </c>
      <c r="N239" t="s">
        <v>180</v>
      </c>
      <c r="O239" t="s">
        <v>181</v>
      </c>
    </row>
    <row r="240" spans="1:15" x14ac:dyDescent="0.3">
      <c r="A240" t="s">
        <v>133</v>
      </c>
      <c r="B240" t="s">
        <v>22</v>
      </c>
      <c r="C240" t="s">
        <v>220</v>
      </c>
      <c r="D240">
        <v>200</v>
      </c>
      <c r="E240" t="s">
        <v>391</v>
      </c>
      <c r="F240" t="s">
        <v>37</v>
      </c>
      <c r="G240" t="s">
        <v>25</v>
      </c>
      <c r="I240" t="s">
        <v>133</v>
      </c>
      <c r="J240" t="s">
        <v>133</v>
      </c>
      <c r="K240">
        <v>259</v>
      </c>
      <c r="L240" t="s">
        <v>36</v>
      </c>
      <c r="M240" t="s">
        <v>25</v>
      </c>
      <c r="N240" t="s">
        <v>180</v>
      </c>
      <c r="O240" t="s">
        <v>181</v>
      </c>
    </row>
    <row r="241" spans="1:15" x14ac:dyDescent="0.3">
      <c r="A241" t="s">
        <v>133</v>
      </c>
      <c r="B241" t="s">
        <v>22</v>
      </c>
      <c r="C241" t="s">
        <v>220</v>
      </c>
      <c r="D241">
        <v>236</v>
      </c>
      <c r="E241" t="s">
        <v>391</v>
      </c>
      <c r="F241" t="s">
        <v>37</v>
      </c>
      <c r="G241" t="s">
        <v>25</v>
      </c>
      <c r="I241" t="s">
        <v>133</v>
      </c>
      <c r="J241" t="s">
        <v>133</v>
      </c>
      <c r="K241">
        <v>259</v>
      </c>
      <c r="L241" t="s">
        <v>36</v>
      </c>
      <c r="M241" t="s">
        <v>25</v>
      </c>
      <c r="N241" t="s">
        <v>180</v>
      </c>
      <c r="O241" t="s">
        <v>181</v>
      </c>
    </row>
    <row r="242" spans="1:15" x14ac:dyDescent="0.3">
      <c r="A242" t="s">
        <v>133</v>
      </c>
      <c r="B242" t="s">
        <v>22</v>
      </c>
      <c r="C242" t="s">
        <v>220</v>
      </c>
      <c r="D242">
        <v>282</v>
      </c>
      <c r="E242" t="s">
        <v>391</v>
      </c>
      <c r="F242" t="s">
        <v>37</v>
      </c>
      <c r="G242" t="s">
        <v>25</v>
      </c>
      <c r="I242" t="s">
        <v>133</v>
      </c>
      <c r="J242" t="s">
        <v>133</v>
      </c>
      <c r="K242">
        <v>259</v>
      </c>
      <c r="L242" t="s">
        <v>36</v>
      </c>
      <c r="M242" t="s">
        <v>25</v>
      </c>
      <c r="N242" t="s">
        <v>180</v>
      </c>
      <c r="O242" t="s">
        <v>181</v>
      </c>
    </row>
    <row r="243" spans="1:15" x14ac:dyDescent="0.3">
      <c r="A243" t="s">
        <v>133</v>
      </c>
      <c r="B243" t="s">
        <v>22</v>
      </c>
      <c r="C243" t="s">
        <v>220</v>
      </c>
      <c r="D243">
        <v>311</v>
      </c>
      <c r="E243" t="s">
        <v>391</v>
      </c>
      <c r="F243" t="s">
        <v>37</v>
      </c>
      <c r="G243" t="s">
        <v>25</v>
      </c>
      <c r="I243" t="s">
        <v>133</v>
      </c>
      <c r="J243" t="s">
        <v>133</v>
      </c>
      <c r="K243">
        <v>259</v>
      </c>
      <c r="L243" t="s">
        <v>36</v>
      </c>
      <c r="M243" t="s">
        <v>25</v>
      </c>
      <c r="N243" t="s">
        <v>180</v>
      </c>
      <c r="O243" t="s">
        <v>181</v>
      </c>
    </row>
    <row r="244" spans="1:15" x14ac:dyDescent="0.3">
      <c r="A244" t="s">
        <v>133</v>
      </c>
      <c r="B244" t="s">
        <v>22</v>
      </c>
      <c r="C244" t="s">
        <v>220</v>
      </c>
      <c r="D244">
        <v>340</v>
      </c>
      <c r="E244" t="s">
        <v>391</v>
      </c>
      <c r="F244" t="s">
        <v>37</v>
      </c>
      <c r="G244" t="s">
        <v>25</v>
      </c>
      <c r="I244" t="s">
        <v>133</v>
      </c>
      <c r="J244" t="s">
        <v>133</v>
      </c>
      <c r="K244">
        <v>259</v>
      </c>
      <c r="L244" t="s">
        <v>36</v>
      </c>
      <c r="M244" t="s">
        <v>25</v>
      </c>
      <c r="N244" t="s">
        <v>180</v>
      </c>
      <c r="O244" t="s">
        <v>181</v>
      </c>
    </row>
    <row r="245" spans="1:15" x14ac:dyDescent="0.3">
      <c r="A245" t="s">
        <v>133</v>
      </c>
      <c r="B245" t="s">
        <v>22</v>
      </c>
      <c r="C245" t="s">
        <v>220</v>
      </c>
      <c r="D245">
        <v>369</v>
      </c>
      <c r="E245" t="s">
        <v>391</v>
      </c>
      <c r="F245" t="s">
        <v>37</v>
      </c>
      <c r="G245" t="s">
        <v>25</v>
      </c>
      <c r="I245" t="s">
        <v>133</v>
      </c>
      <c r="J245" t="s">
        <v>133</v>
      </c>
      <c r="K245">
        <v>259</v>
      </c>
      <c r="L245" t="s">
        <v>36</v>
      </c>
      <c r="M245" t="s">
        <v>25</v>
      </c>
      <c r="N245" t="s">
        <v>180</v>
      </c>
      <c r="O245" t="s">
        <v>181</v>
      </c>
    </row>
    <row r="246" spans="1:15" x14ac:dyDescent="0.3">
      <c r="A246" t="s">
        <v>133</v>
      </c>
      <c r="B246" t="s">
        <v>22</v>
      </c>
      <c r="C246" t="s">
        <v>220</v>
      </c>
      <c r="D246">
        <v>398</v>
      </c>
      <c r="E246" t="s">
        <v>391</v>
      </c>
      <c r="F246" t="s">
        <v>37</v>
      </c>
      <c r="G246" t="s">
        <v>25</v>
      </c>
      <c r="I246" t="s">
        <v>133</v>
      </c>
      <c r="J246" t="s">
        <v>133</v>
      </c>
      <c r="K246">
        <v>259</v>
      </c>
      <c r="L246" t="s">
        <v>36</v>
      </c>
      <c r="M246" t="s">
        <v>25</v>
      </c>
      <c r="N246" t="s">
        <v>180</v>
      </c>
      <c r="O246" t="s">
        <v>181</v>
      </c>
    </row>
    <row r="247" spans="1:15" x14ac:dyDescent="0.3">
      <c r="A247" t="s">
        <v>133</v>
      </c>
      <c r="B247" t="s">
        <v>22</v>
      </c>
      <c r="C247" t="s">
        <v>220</v>
      </c>
      <c r="D247">
        <v>435</v>
      </c>
      <c r="E247" t="s">
        <v>391</v>
      </c>
      <c r="F247" t="s">
        <v>37</v>
      </c>
      <c r="G247" t="s">
        <v>25</v>
      </c>
      <c r="I247" t="s">
        <v>133</v>
      </c>
      <c r="J247" t="s">
        <v>133</v>
      </c>
      <c r="K247">
        <v>259</v>
      </c>
      <c r="L247" t="s">
        <v>36</v>
      </c>
      <c r="M247" t="s">
        <v>25</v>
      </c>
      <c r="N247" t="s">
        <v>180</v>
      </c>
      <c r="O247" t="s">
        <v>181</v>
      </c>
    </row>
    <row r="248" spans="1:15" x14ac:dyDescent="0.3">
      <c r="A248" t="s">
        <v>227</v>
      </c>
      <c r="B248" t="s">
        <v>22</v>
      </c>
      <c r="C248" t="s">
        <v>222</v>
      </c>
      <c r="D248">
        <v>263</v>
      </c>
      <c r="E248" t="s">
        <v>391</v>
      </c>
      <c r="F248" t="s">
        <v>37</v>
      </c>
      <c r="G248" t="s">
        <v>25</v>
      </c>
      <c r="I248" t="s">
        <v>227</v>
      </c>
      <c r="J248" t="s">
        <v>227</v>
      </c>
      <c r="K248">
        <v>259</v>
      </c>
      <c r="L248" t="s">
        <v>36</v>
      </c>
      <c r="M248" t="s">
        <v>25</v>
      </c>
      <c r="N248" t="s">
        <v>180</v>
      </c>
      <c r="O248" t="s">
        <v>221</v>
      </c>
    </row>
    <row r="249" spans="1:15" x14ac:dyDescent="0.3">
      <c r="A249" t="s">
        <v>227</v>
      </c>
      <c r="B249" t="s">
        <v>22</v>
      </c>
      <c r="C249" t="s">
        <v>222</v>
      </c>
      <c r="D249">
        <v>275</v>
      </c>
      <c r="E249" t="s">
        <v>391</v>
      </c>
      <c r="F249" t="s">
        <v>37</v>
      </c>
      <c r="G249" t="s">
        <v>25</v>
      </c>
      <c r="I249" t="s">
        <v>227</v>
      </c>
      <c r="J249" t="s">
        <v>227</v>
      </c>
      <c r="K249">
        <v>259</v>
      </c>
      <c r="L249" t="s">
        <v>36</v>
      </c>
      <c r="M249" t="s">
        <v>25</v>
      </c>
      <c r="N249" t="s">
        <v>180</v>
      </c>
      <c r="O249" t="s">
        <v>221</v>
      </c>
    </row>
    <row r="250" spans="1:15" x14ac:dyDescent="0.3">
      <c r="A250" t="s">
        <v>227</v>
      </c>
      <c r="B250" t="s">
        <v>22</v>
      </c>
      <c r="C250" t="s">
        <v>222</v>
      </c>
      <c r="D250">
        <v>297</v>
      </c>
      <c r="E250" t="s">
        <v>391</v>
      </c>
      <c r="F250" t="s">
        <v>37</v>
      </c>
      <c r="G250" t="s">
        <v>25</v>
      </c>
      <c r="I250" t="s">
        <v>227</v>
      </c>
      <c r="J250" t="s">
        <v>227</v>
      </c>
      <c r="K250">
        <v>259</v>
      </c>
      <c r="L250" t="s">
        <v>36</v>
      </c>
      <c r="M250" t="s">
        <v>25</v>
      </c>
      <c r="N250" t="s">
        <v>180</v>
      </c>
      <c r="O250" t="s">
        <v>221</v>
      </c>
    </row>
    <row r="251" spans="1:15" x14ac:dyDescent="0.3">
      <c r="A251" t="s">
        <v>227</v>
      </c>
      <c r="B251" t="s">
        <v>22</v>
      </c>
      <c r="C251" t="s">
        <v>222</v>
      </c>
      <c r="D251">
        <v>309</v>
      </c>
      <c r="E251" t="s">
        <v>391</v>
      </c>
      <c r="F251" t="s">
        <v>37</v>
      </c>
      <c r="G251" t="s">
        <v>25</v>
      </c>
      <c r="I251" t="s">
        <v>227</v>
      </c>
      <c r="J251" t="s">
        <v>227</v>
      </c>
      <c r="K251">
        <v>259</v>
      </c>
      <c r="L251" t="s">
        <v>36</v>
      </c>
      <c r="M251" t="s">
        <v>25</v>
      </c>
      <c r="N251" t="s">
        <v>180</v>
      </c>
      <c r="O251" t="s">
        <v>221</v>
      </c>
    </row>
    <row r="252" spans="1:15" x14ac:dyDescent="0.3">
      <c r="A252" t="s">
        <v>133</v>
      </c>
      <c r="B252" t="s">
        <v>22</v>
      </c>
      <c r="C252" t="s">
        <v>188</v>
      </c>
      <c r="D252">
        <v>7</v>
      </c>
      <c r="E252" t="s">
        <v>391</v>
      </c>
      <c r="F252" t="s">
        <v>37</v>
      </c>
      <c r="G252" t="s">
        <v>25</v>
      </c>
      <c r="I252" t="s">
        <v>133</v>
      </c>
      <c r="J252" t="s">
        <v>133</v>
      </c>
      <c r="K252">
        <v>259</v>
      </c>
      <c r="L252" t="s">
        <v>36</v>
      </c>
      <c r="M252" t="s">
        <v>25</v>
      </c>
      <c r="N252" t="s">
        <v>180</v>
      </c>
      <c r="O252" t="s">
        <v>221</v>
      </c>
    </row>
    <row r="253" spans="1:15" x14ac:dyDescent="0.3">
      <c r="A253" t="s">
        <v>227</v>
      </c>
      <c r="B253" t="s">
        <v>22</v>
      </c>
      <c r="C253" t="s">
        <v>205</v>
      </c>
      <c r="D253">
        <v>302</v>
      </c>
      <c r="E253" t="s">
        <v>391</v>
      </c>
      <c r="F253" t="s">
        <v>37</v>
      </c>
      <c r="G253" t="s">
        <v>25</v>
      </c>
      <c r="I253" t="s">
        <v>227</v>
      </c>
      <c r="J253" t="s">
        <v>227</v>
      </c>
      <c r="K253">
        <v>259</v>
      </c>
      <c r="L253" t="s">
        <v>36</v>
      </c>
      <c r="M253" t="s">
        <v>25</v>
      </c>
      <c r="N253" t="s">
        <v>180</v>
      </c>
      <c r="O253" t="s">
        <v>221</v>
      </c>
    </row>
    <row r="254" spans="1:15" x14ac:dyDescent="0.3">
      <c r="A254" t="s">
        <v>133</v>
      </c>
      <c r="B254" t="s">
        <v>22</v>
      </c>
      <c r="C254" t="s">
        <v>189</v>
      </c>
      <c r="D254">
        <v>55</v>
      </c>
      <c r="E254" t="s">
        <v>391</v>
      </c>
      <c r="F254" t="s">
        <v>37</v>
      </c>
      <c r="G254" t="s">
        <v>25</v>
      </c>
      <c r="I254" t="s">
        <v>133</v>
      </c>
      <c r="J254" t="s">
        <v>133</v>
      </c>
      <c r="K254">
        <v>259</v>
      </c>
      <c r="L254" t="s">
        <v>36</v>
      </c>
      <c r="M254" t="s">
        <v>25</v>
      </c>
      <c r="N254" t="s">
        <v>180</v>
      </c>
      <c r="O254" t="s">
        <v>181</v>
      </c>
    </row>
    <row r="255" spans="1:15" x14ac:dyDescent="0.3">
      <c r="A255" t="s">
        <v>133</v>
      </c>
      <c r="B255" t="s">
        <v>22</v>
      </c>
      <c r="C255" t="s">
        <v>189</v>
      </c>
      <c r="D255">
        <v>82</v>
      </c>
      <c r="E255" t="s">
        <v>391</v>
      </c>
      <c r="F255" t="s">
        <v>37</v>
      </c>
      <c r="G255" t="s">
        <v>25</v>
      </c>
      <c r="I255" t="s">
        <v>133</v>
      </c>
      <c r="J255" t="s">
        <v>133</v>
      </c>
      <c r="K255">
        <v>259</v>
      </c>
      <c r="L255" t="s">
        <v>36</v>
      </c>
      <c r="M255" t="s">
        <v>25</v>
      </c>
      <c r="N255" t="s">
        <v>180</v>
      </c>
      <c r="O255" t="s">
        <v>181</v>
      </c>
    </row>
    <row r="256" spans="1:15" x14ac:dyDescent="0.3">
      <c r="A256" t="s">
        <v>133</v>
      </c>
      <c r="B256" t="s">
        <v>22</v>
      </c>
      <c r="C256" t="s">
        <v>186</v>
      </c>
      <c r="D256">
        <v>4</v>
      </c>
      <c r="E256" t="s">
        <v>391</v>
      </c>
      <c r="F256" t="s">
        <v>37</v>
      </c>
      <c r="G256" t="s">
        <v>25</v>
      </c>
      <c r="I256" t="s">
        <v>133</v>
      </c>
      <c r="J256" t="s">
        <v>133</v>
      </c>
      <c r="K256">
        <v>259</v>
      </c>
      <c r="L256" t="s">
        <v>36</v>
      </c>
      <c r="M256" t="s">
        <v>25</v>
      </c>
      <c r="N256" t="s">
        <v>180</v>
      </c>
      <c r="O256" t="s">
        <v>181</v>
      </c>
    </row>
    <row r="257" spans="1:15" x14ac:dyDescent="0.3">
      <c r="A257" t="s">
        <v>133</v>
      </c>
      <c r="B257" t="s">
        <v>22</v>
      </c>
      <c r="C257" t="s">
        <v>186</v>
      </c>
      <c r="D257">
        <v>81</v>
      </c>
      <c r="E257" t="s">
        <v>391</v>
      </c>
      <c r="F257" t="s">
        <v>37</v>
      </c>
      <c r="G257" t="s">
        <v>25</v>
      </c>
      <c r="I257" t="s">
        <v>133</v>
      </c>
      <c r="J257" t="s">
        <v>133</v>
      </c>
      <c r="K257">
        <v>259</v>
      </c>
      <c r="L257" t="s">
        <v>36</v>
      </c>
      <c r="M257" t="s">
        <v>25</v>
      </c>
      <c r="N257" t="s">
        <v>180</v>
      </c>
      <c r="O257" t="s">
        <v>181</v>
      </c>
    </row>
    <row r="258" spans="1:15" x14ac:dyDescent="0.3">
      <c r="A258" t="s">
        <v>133</v>
      </c>
      <c r="B258" t="s">
        <v>22</v>
      </c>
      <c r="C258" t="s">
        <v>202</v>
      </c>
      <c r="D258">
        <v>76</v>
      </c>
      <c r="E258" t="s">
        <v>391</v>
      </c>
      <c r="F258" t="s">
        <v>37</v>
      </c>
      <c r="G258" t="s">
        <v>25</v>
      </c>
      <c r="I258" t="s">
        <v>133</v>
      </c>
      <c r="J258" t="s">
        <v>133</v>
      </c>
      <c r="K258">
        <v>259</v>
      </c>
      <c r="L258" t="s">
        <v>36</v>
      </c>
      <c r="M258" t="s">
        <v>25</v>
      </c>
      <c r="N258" t="s">
        <v>180</v>
      </c>
      <c r="O258" t="s">
        <v>181</v>
      </c>
    </row>
    <row r="259" spans="1:15" x14ac:dyDescent="0.3">
      <c r="A259" t="s">
        <v>133</v>
      </c>
      <c r="B259" t="s">
        <v>22</v>
      </c>
      <c r="C259" t="s">
        <v>202</v>
      </c>
      <c r="D259">
        <v>120</v>
      </c>
      <c r="E259" t="s">
        <v>391</v>
      </c>
      <c r="F259" t="s">
        <v>37</v>
      </c>
      <c r="G259" t="s">
        <v>25</v>
      </c>
      <c r="I259" t="s">
        <v>133</v>
      </c>
      <c r="J259" t="s">
        <v>133</v>
      </c>
      <c r="K259">
        <v>259</v>
      </c>
      <c r="L259" t="s">
        <v>36</v>
      </c>
      <c r="M259" t="s">
        <v>25</v>
      </c>
      <c r="N259" t="s">
        <v>180</v>
      </c>
      <c r="O259" t="s">
        <v>181</v>
      </c>
    </row>
    <row r="260" spans="1:15" x14ac:dyDescent="0.3">
      <c r="A260" t="s">
        <v>133</v>
      </c>
      <c r="B260" t="s">
        <v>22</v>
      </c>
      <c r="C260" t="s">
        <v>187</v>
      </c>
      <c r="D260">
        <v>24</v>
      </c>
      <c r="E260" t="s">
        <v>391</v>
      </c>
      <c r="F260" t="s">
        <v>37</v>
      </c>
      <c r="G260" t="s">
        <v>25</v>
      </c>
      <c r="I260" t="s">
        <v>133</v>
      </c>
      <c r="J260" t="s">
        <v>133</v>
      </c>
      <c r="K260">
        <v>259</v>
      </c>
      <c r="L260" t="s">
        <v>36</v>
      </c>
      <c r="M260" t="s">
        <v>25</v>
      </c>
      <c r="N260" t="s">
        <v>180</v>
      </c>
      <c r="O260" t="s">
        <v>181</v>
      </c>
    </row>
    <row r="261" spans="1:15" x14ac:dyDescent="0.3">
      <c r="A261" t="s">
        <v>133</v>
      </c>
      <c r="B261" t="s">
        <v>22</v>
      </c>
      <c r="C261" t="s">
        <v>195</v>
      </c>
      <c r="D261">
        <v>11</v>
      </c>
      <c r="E261" t="s">
        <v>391</v>
      </c>
      <c r="F261" t="s">
        <v>37</v>
      </c>
      <c r="G261" t="s">
        <v>25</v>
      </c>
      <c r="I261" t="s">
        <v>133</v>
      </c>
      <c r="J261" t="s">
        <v>133</v>
      </c>
      <c r="K261">
        <v>259</v>
      </c>
      <c r="L261" t="s">
        <v>36</v>
      </c>
      <c r="M261" t="s">
        <v>25</v>
      </c>
      <c r="N261" t="s">
        <v>180</v>
      </c>
      <c r="O261" t="s">
        <v>181</v>
      </c>
    </row>
    <row r="262" spans="1:15" x14ac:dyDescent="0.3">
      <c r="A262" t="s">
        <v>133</v>
      </c>
      <c r="B262" t="s">
        <v>22</v>
      </c>
      <c r="C262" t="s">
        <v>195</v>
      </c>
      <c r="D262">
        <v>47</v>
      </c>
      <c r="E262" t="s">
        <v>391</v>
      </c>
      <c r="F262" t="s">
        <v>37</v>
      </c>
      <c r="G262" t="s">
        <v>25</v>
      </c>
      <c r="I262" t="s">
        <v>133</v>
      </c>
      <c r="J262" t="s">
        <v>133</v>
      </c>
      <c r="K262">
        <v>259</v>
      </c>
      <c r="L262" t="s">
        <v>36</v>
      </c>
      <c r="M262" t="s">
        <v>25</v>
      </c>
      <c r="N262" t="s">
        <v>180</v>
      </c>
      <c r="O262" t="s">
        <v>181</v>
      </c>
    </row>
    <row r="263" spans="1:15" x14ac:dyDescent="0.3">
      <c r="A263" t="s">
        <v>133</v>
      </c>
      <c r="B263" t="s">
        <v>22</v>
      </c>
      <c r="C263" t="s">
        <v>196</v>
      </c>
      <c r="D263">
        <v>4</v>
      </c>
      <c r="E263" t="s">
        <v>391</v>
      </c>
      <c r="F263" t="s">
        <v>37</v>
      </c>
      <c r="G263" t="s">
        <v>25</v>
      </c>
      <c r="I263" t="s">
        <v>133</v>
      </c>
      <c r="J263" t="s">
        <v>133</v>
      </c>
      <c r="K263">
        <v>259</v>
      </c>
      <c r="L263" t="s">
        <v>36</v>
      </c>
      <c r="M263" t="s">
        <v>25</v>
      </c>
      <c r="N263" t="s">
        <v>180</v>
      </c>
      <c r="O263" t="s">
        <v>181</v>
      </c>
    </row>
    <row r="264" spans="1:15" x14ac:dyDescent="0.3">
      <c r="A264" t="s">
        <v>133</v>
      </c>
      <c r="B264" t="s">
        <v>22</v>
      </c>
      <c r="C264" t="s">
        <v>199</v>
      </c>
      <c r="D264">
        <v>5</v>
      </c>
      <c r="E264" t="s">
        <v>391</v>
      </c>
      <c r="F264" t="s">
        <v>37</v>
      </c>
      <c r="G264" t="s">
        <v>25</v>
      </c>
      <c r="I264" t="s">
        <v>133</v>
      </c>
      <c r="J264" t="s">
        <v>133</v>
      </c>
      <c r="K264">
        <v>259</v>
      </c>
      <c r="L264" t="s">
        <v>36</v>
      </c>
      <c r="M264" t="s">
        <v>25</v>
      </c>
      <c r="N264" t="s">
        <v>180</v>
      </c>
      <c r="O264" t="s">
        <v>181</v>
      </c>
    </row>
    <row r="265" spans="1:15" x14ac:dyDescent="0.3">
      <c r="A265" t="s">
        <v>133</v>
      </c>
      <c r="B265" t="s">
        <v>22</v>
      </c>
      <c r="C265" t="s">
        <v>199</v>
      </c>
      <c r="D265">
        <v>24</v>
      </c>
      <c r="E265" t="s">
        <v>391</v>
      </c>
      <c r="F265" t="s">
        <v>37</v>
      </c>
      <c r="G265" t="s">
        <v>25</v>
      </c>
      <c r="I265" t="s">
        <v>133</v>
      </c>
      <c r="J265" t="s">
        <v>133</v>
      </c>
      <c r="K265">
        <v>259</v>
      </c>
      <c r="L265" t="s">
        <v>36</v>
      </c>
      <c r="M265" t="s">
        <v>25</v>
      </c>
      <c r="N265" t="s">
        <v>180</v>
      </c>
      <c r="O265" t="s">
        <v>181</v>
      </c>
    </row>
    <row r="266" spans="1:15" x14ac:dyDescent="0.3">
      <c r="A266" t="s">
        <v>133</v>
      </c>
      <c r="B266" t="s">
        <v>22</v>
      </c>
      <c r="C266" t="s">
        <v>199</v>
      </c>
      <c r="D266">
        <v>31</v>
      </c>
      <c r="E266" t="s">
        <v>391</v>
      </c>
      <c r="F266" t="s">
        <v>37</v>
      </c>
      <c r="G266" t="s">
        <v>25</v>
      </c>
      <c r="I266" t="s">
        <v>133</v>
      </c>
      <c r="J266" t="s">
        <v>133</v>
      </c>
      <c r="K266">
        <v>259</v>
      </c>
      <c r="L266" t="s">
        <v>36</v>
      </c>
      <c r="M266" t="s">
        <v>25</v>
      </c>
      <c r="N266" t="s">
        <v>180</v>
      </c>
      <c r="O266" t="s">
        <v>181</v>
      </c>
    </row>
    <row r="267" spans="1:15" x14ac:dyDescent="0.3">
      <c r="A267" t="s">
        <v>133</v>
      </c>
      <c r="B267" t="s">
        <v>22</v>
      </c>
      <c r="C267" t="s">
        <v>137</v>
      </c>
      <c r="D267">
        <v>65</v>
      </c>
      <c r="E267" t="s">
        <v>391</v>
      </c>
      <c r="F267" t="s">
        <v>37</v>
      </c>
      <c r="G267" t="s">
        <v>25</v>
      </c>
      <c r="I267" t="s">
        <v>133</v>
      </c>
      <c r="J267" t="s">
        <v>133</v>
      </c>
      <c r="K267">
        <v>259</v>
      </c>
      <c r="L267" t="s">
        <v>36</v>
      </c>
      <c r="N267" t="s">
        <v>180</v>
      </c>
      <c r="O267" t="s">
        <v>181</v>
      </c>
    </row>
    <row r="268" spans="1:15" x14ac:dyDescent="0.3">
      <c r="A268" t="s">
        <v>133</v>
      </c>
      <c r="B268" t="s">
        <v>22</v>
      </c>
      <c r="C268" t="s">
        <v>137</v>
      </c>
      <c r="D268">
        <v>81</v>
      </c>
      <c r="E268" t="s">
        <v>391</v>
      </c>
      <c r="F268" t="s">
        <v>37</v>
      </c>
      <c r="G268" t="s">
        <v>25</v>
      </c>
      <c r="I268" t="s">
        <v>133</v>
      </c>
      <c r="J268" t="s">
        <v>133</v>
      </c>
      <c r="K268">
        <v>259</v>
      </c>
      <c r="L268" t="s">
        <v>36</v>
      </c>
      <c r="N268" t="s">
        <v>180</v>
      </c>
      <c r="O268" t="s">
        <v>181</v>
      </c>
    </row>
    <row r="269" spans="1:15" x14ac:dyDescent="0.3">
      <c r="A269" t="s">
        <v>133</v>
      </c>
      <c r="B269" t="s">
        <v>22</v>
      </c>
      <c r="C269" t="s">
        <v>135</v>
      </c>
      <c r="D269">
        <v>84</v>
      </c>
      <c r="E269" t="s">
        <v>391</v>
      </c>
      <c r="F269" t="s">
        <v>37</v>
      </c>
      <c r="G269" t="s">
        <v>25</v>
      </c>
      <c r="I269" t="s">
        <v>133</v>
      </c>
      <c r="J269" t="s">
        <v>133</v>
      </c>
      <c r="K269">
        <v>259</v>
      </c>
      <c r="L269" t="s">
        <v>36</v>
      </c>
      <c r="N269" t="s">
        <v>180</v>
      </c>
      <c r="O269" t="s">
        <v>181</v>
      </c>
    </row>
    <row r="270" spans="1:15" x14ac:dyDescent="0.3">
      <c r="A270" t="s">
        <v>133</v>
      </c>
      <c r="B270" t="s">
        <v>22</v>
      </c>
      <c r="C270" t="s">
        <v>135</v>
      </c>
      <c r="D270">
        <v>84</v>
      </c>
      <c r="E270" t="s">
        <v>391</v>
      </c>
      <c r="F270" t="s">
        <v>37</v>
      </c>
      <c r="G270" t="s">
        <v>25</v>
      </c>
      <c r="I270" t="s">
        <v>133</v>
      </c>
      <c r="J270" t="s">
        <v>133</v>
      </c>
      <c r="K270">
        <v>259</v>
      </c>
      <c r="L270" t="s">
        <v>36</v>
      </c>
      <c r="N270" t="s">
        <v>180</v>
      </c>
      <c r="O270" t="s">
        <v>181</v>
      </c>
    </row>
    <row r="271" spans="1:15" x14ac:dyDescent="0.3">
      <c r="A271" t="s">
        <v>133</v>
      </c>
      <c r="B271" t="s">
        <v>22</v>
      </c>
      <c r="C271" t="s">
        <v>135</v>
      </c>
      <c r="D271">
        <v>91</v>
      </c>
      <c r="E271" t="s">
        <v>391</v>
      </c>
      <c r="F271" t="s">
        <v>37</v>
      </c>
      <c r="G271" t="s">
        <v>25</v>
      </c>
      <c r="I271" t="s">
        <v>133</v>
      </c>
      <c r="J271" t="s">
        <v>133</v>
      </c>
      <c r="K271">
        <v>259</v>
      </c>
      <c r="L271" t="s">
        <v>36</v>
      </c>
      <c r="N271" t="s">
        <v>180</v>
      </c>
      <c r="O271" t="s">
        <v>181</v>
      </c>
    </row>
    <row r="272" spans="1:15" x14ac:dyDescent="0.3">
      <c r="A272" t="s">
        <v>133</v>
      </c>
      <c r="B272" t="s">
        <v>22</v>
      </c>
      <c r="C272" t="s">
        <v>384</v>
      </c>
      <c r="D272">
        <v>115</v>
      </c>
      <c r="E272" t="s">
        <v>391</v>
      </c>
      <c r="F272" t="s">
        <v>37</v>
      </c>
      <c r="G272" t="s">
        <v>25</v>
      </c>
      <c r="I272" t="s">
        <v>133</v>
      </c>
      <c r="J272" t="s">
        <v>133</v>
      </c>
      <c r="K272">
        <v>259</v>
      </c>
      <c r="L272" t="s">
        <v>36</v>
      </c>
      <c r="N272" t="s">
        <v>180</v>
      </c>
      <c r="O272" t="s">
        <v>181</v>
      </c>
    </row>
    <row r="273" spans="1:15" x14ac:dyDescent="0.3">
      <c r="A273" t="s">
        <v>133</v>
      </c>
      <c r="B273" t="s">
        <v>22</v>
      </c>
      <c r="C273" t="s">
        <v>384</v>
      </c>
      <c r="D273">
        <v>133</v>
      </c>
      <c r="E273" t="s">
        <v>391</v>
      </c>
      <c r="F273" t="s">
        <v>37</v>
      </c>
      <c r="G273" t="s">
        <v>25</v>
      </c>
      <c r="I273" t="s">
        <v>133</v>
      </c>
      <c r="J273" t="s">
        <v>133</v>
      </c>
      <c r="K273">
        <v>259</v>
      </c>
      <c r="L273" t="s">
        <v>36</v>
      </c>
      <c r="N273" t="s">
        <v>180</v>
      </c>
      <c r="O273" t="s">
        <v>181</v>
      </c>
    </row>
    <row r="274" spans="1:15" x14ac:dyDescent="0.3">
      <c r="A274" t="s">
        <v>133</v>
      </c>
      <c r="B274" t="s">
        <v>22</v>
      </c>
      <c r="C274" t="s">
        <v>384</v>
      </c>
      <c r="D274">
        <v>134</v>
      </c>
      <c r="E274" t="s">
        <v>391</v>
      </c>
      <c r="F274" t="s">
        <v>37</v>
      </c>
      <c r="G274" t="s">
        <v>25</v>
      </c>
      <c r="I274" t="s">
        <v>133</v>
      </c>
      <c r="J274" t="s">
        <v>133</v>
      </c>
      <c r="K274">
        <v>259</v>
      </c>
      <c r="L274" t="s">
        <v>36</v>
      </c>
      <c r="N274" t="s">
        <v>180</v>
      </c>
      <c r="O274" t="s">
        <v>181</v>
      </c>
    </row>
    <row r="275" spans="1:15" x14ac:dyDescent="0.3">
      <c r="A275" t="s">
        <v>133</v>
      </c>
      <c r="B275" t="s">
        <v>22</v>
      </c>
      <c r="C275" t="s">
        <v>384</v>
      </c>
      <c r="D275">
        <v>151</v>
      </c>
      <c r="E275" t="s">
        <v>391</v>
      </c>
      <c r="F275" t="s">
        <v>37</v>
      </c>
      <c r="G275" t="s">
        <v>25</v>
      </c>
      <c r="I275" t="s">
        <v>133</v>
      </c>
      <c r="J275" t="s">
        <v>133</v>
      </c>
      <c r="K275">
        <v>259</v>
      </c>
      <c r="L275" t="s">
        <v>36</v>
      </c>
      <c r="N275" t="s">
        <v>180</v>
      </c>
      <c r="O275" t="s">
        <v>181</v>
      </c>
    </row>
    <row r="276" spans="1:15" x14ac:dyDescent="0.3">
      <c r="A276" t="s">
        <v>133</v>
      </c>
      <c r="B276" t="s">
        <v>22</v>
      </c>
      <c r="C276" t="s">
        <v>384</v>
      </c>
      <c r="D276">
        <v>151</v>
      </c>
      <c r="E276" t="s">
        <v>391</v>
      </c>
      <c r="F276" t="s">
        <v>37</v>
      </c>
      <c r="G276" t="s">
        <v>25</v>
      </c>
      <c r="I276" t="s">
        <v>133</v>
      </c>
      <c r="J276" t="s">
        <v>133</v>
      </c>
      <c r="K276">
        <v>259</v>
      </c>
      <c r="L276" t="s">
        <v>36</v>
      </c>
      <c r="N276" t="s">
        <v>180</v>
      </c>
      <c r="O276" t="s">
        <v>181</v>
      </c>
    </row>
    <row r="277" spans="1:15" x14ac:dyDescent="0.3">
      <c r="A277" t="s">
        <v>133</v>
      </c>
      <c r="B277" t="s">
        <v>22</v>
      </c>
      <c r="C277" t="s">
        <v>385</v>
      </c>
      <c r="D277">
        <v>93</v>
      </c>
      <c r="E277" t="s">
        <v>391</v>
      </c>
      <c r="F277" t="s">
        <v>37</v>
      </c>
      <c r="G277" t="s">
        <v>25</v>
      </c>
      <c r="I277" t="s">
        <v>133</v>
      </c>
      <c r="J277" t="s">
        <v>133</v>
      </c>
      <c r="K277">
        <v>259</v>
      </c>
      <c r="L277" t="s">
        <v>36</v>
      </c>
      <c r="N277" t="s">
        <v>180</v>
      </c>
      <c r="O277" t="s">
        <v>181</v>
      </c>
    </row>
    <row r="278" spans="1:15" x14ac:dyDescent="0.3">
      <c r="A278" t="s">
        <v>133</v>
      </c>
      <c r="B278" t="s">
        <v>22</v>
      </c>
      <c r="C278" t="s">
        <v>386</v>
      </c>
      <c r="D278">
        <v>44</v>
      </c>
      <c r="E278" t="s">
        <v>391</v>
      </c>
      <c r="F278" t="s">
        <v>37</v>
      </c>
      <c r="G278" t="s">
        <v>25</v>
      </c>
      <c r="I278" t="s">
        <v>133</v>
      </c>
      <c r="J278" t="s">
        <v>133</v>
      </c>
      <c r="K278">
        <v>259</v>
      </c>
      <c r="L278" t="s">
        <v>36</v>
      </c>
      <c r="N278" t="s">
        <v>180</v>
      </c>
      <c r="O278" t="s">
        <v>181</v>
      </c>
    </row>
    <row r="279" spans="1:15" x14ac:dyDescent="0.3">
      <c r="A279" t="s">
        <v>133</v>
      </c>
      <c r="B279" t="s">
        <v>22</v>
      </c>
      <c r="C279" t="s">
        <v>387</v>
      </c>
      <c r="D279">
        <v>85</v>
      </c>
      <c r="E279" t="s">
        <v>391</v>
      </c>
      <c r="F279" t="s">
        <v>37</v>
      </c>
      <c r="G279" t="s">
        <v>25</v>
      </c>
      <c r="I279" t="s">
        <v>133</v>
      </c>
      <c r="J279" t="s">
        <v>133</v>
      </c>
      <c r="K279">
        <v>259</v>
      </c>
      <c r="L279" t="s">
        <v>36</v>
      </c>
      <c r="N279" t="s">
        <v>180</v>
      </c>
      <c r="O279" t="s">
        <v>181</v>
      </c>
    </row>
    <row r="280" spans="1:15" x14ac:dyDescent="0.3">
      <c r="A280" t="s">
        <v>133</v>
      </c>
      <c r="B280" t="s">
        <v>22</v>
      </c>
      <c r="C280" t="s">
        <v>387</v>
      </c>
      <c r="D280">
        <v>103</v>
      </c>
      <c r="E280" t="s">
        <v>391</v>
      </c>
      <c r="F280" t="s">
        <v>37</v>
      </c>
      <c r="G280" t="s">
        <v>25</v>
      </c>
      <c r="I280" t="s">
        <v>133</v>
      </c>
      <c r="J280" t="s">
        <v>133</v>
      </c>
      <c r="K280">
        <v>259</v>
      </c>
      <c r="L280" t="s">
        <v>36</v>
      </c>
      <c r="N280" t="s">
        <v>180</v>
      </c>
      <c r="O280" t="s">
        <v>181</v>
      </c>
    </row>
    <row r="281" spans="1:15" x14ac:dyDescent="0.3">
      <c r="A281" t="s">
        <v>133</v>
      </c>
      <c r="B281" t="s">
        <v>22</v>
      </c>
      <c r="C281" t="s">
        <v>387</v>
      </c>
      <c r="D281">
        <v>109</v>
      </c>
      <c r="E281" t="s">
        <v>391</v>
      </c>
      <c r="F281" t="s">
        <v>37</v>
      </c>
      <c r="G281" t="s">
        <v>25</v>
      </c>
      <c r="I281" t="s">
        <v>133</v>
      </c>
      <c r="J281" t="s">
        <v>133</v>
      </c>
      <c r="K281">
        <v>259</v>
      </c>
      <c r="L281" t="s">
        <v>36</v>
      </c>
      <c r="N281" t="s">
        <v>180</v>
      </c>
      <c r="O281" t="s">
        <v>181</v>
      </c>
    </row>
    <row r="282" spans="1:15" x14ac:dyDescent="0.3">
      <c r="A282" t="s">
        <v>133</v>
      </c>
      <c r="B282" t="s">
        <v>22</v>
      </c>
      <c r="C282" t="s">
        <v>387</v>
      </c>
      <c r="D282">
        <v>121</v>
      </c>
      <c r="E282" t="s">
        <v>391</v>
      </c>
      <c r="F282" t="s">
        <v>37</v>
      </c>
      <c r="G282" t="s">
        <v>25</v>
      </c>
      <c r="I282" t="s">
        <v>133</v>
      </c>
      <c r="J282" t="s">
        <v>133</v>
      </c>
      <c r="K282">
        <v>259</v>
      </c>
      <c r="L282" t="s">
        <v>36</v>
      </c>
      <c r="N282" t="s">
        <v>180</v>
      </c>
      <c r="O282" t="s">
        <v>181</v>
      </c>
    </row>
    <row r="283" spans="1:15" x14ac:dyDescent="0.3">
      <c r="A283" t="s">
        <v>133</v>
      </c>
      <c r="B283" t="s">
        <v>22</v>
      </c>
      <c r="C283" t="s">
        <v>388</v>
      </c>
      <c r="D283">
        <v>18</v>
      </c>
      <c r="E283" t="s">
        <v>391</v>
      </c>
      <c r="F283" t="s">
        <v>37</v>
      </c>
      <c r="G283" t="s">
        <v>25</v>
      </c>
      <c r="I283" t="s">
        <v>133</v>
      </c>
      <c r="J283" t="s">
        <v>133</v>
      </c>
      <c r="K283">
        <v>259</v>
      </c>
      <c r="L283" t="s">
        <v>36</v>
      </c>
      <c r="N283" t="s">
        <v>180</v>
      </c>
      <c r="O283" t="s">
        <v>181</v>
      </c>
    </row>
    <row r="284" spans="1:15" x14ac:dyDescent="0.3">
      <c r="A284" t="s">
        <v>133</v>
      </c>
      <c r="B284" t="s">
        <v>22</v>
      </c>
      <c r="C284" t="s">
        <v>389</v>
      </c>
      <c r="D284">
        <v>28</v>
      </c>
      <c r="E284" t="s">
        <v>391</v>
      </c>
      <c r="F284" t="s">
        <v>37</v>
      </c>
      <c r="G284" t="s">
        <v>25</v>
      </c>
      <c r="I284" t="s">
        <v>133</v>
      </c>
      <c r="J284" t="s">
        <v>133</v>
      </c>
      <c r="K284">
        <v>259</v>
      </c>
      <c r="L284" t="s">
        <v>36</v>
      </c>
      <c r="N284" t="s">
        <v>180</v>
      </c>
      <c r="O284" t="s">
        <v>181</v>
      </c>
    </row>
    <row r="285" spans="1:15" x14ac:dyDescent="0.3">
      <c r="A285" t="s">
        <v>133</v>
      </c>
      <c r="B285" t="s">
        <v>22</v>
      </c>
      <c r="C285" t="s">
        <v>389</v>
      </c>
      <c r="D285">
        <v>29</v>
      </c>
      <c r="E285" t="s">
        <v>391</v>
      </c>
      <c r="F285" t="s">
        <v>37</v>
      </c>
      <c r="G285" t="s">
        <v>25</v>
      </c>
      <c r="I285" t="s">
        <v>133</v>
      </c>
      <c r="J285" t="s">
        <v>133</v>
      </c>
      <c r="K285">
        <v>259</v>
      </c>
      <c r="L285" t="s">
        <v>36</v>
      </c>
      <c r="N285" t="s">
        <v>180</v>
      </c>
      <c r="O285" t="s">
        <v>181</v>
      </c>
    </row>
    <row r="286" spans="1:15" x14ac:dyDescent="0.3">
      <c r="A286" t="s">
        <v>133</v>
      </c>
      <c r="B286" t="s">
        <v>22</v>
      </c>
      <c r="C286" t="s">
        <v>389</v>
      </c>
      <c r="D286">
        <v>60</v>
      </c>
      <c r="E286" t="s">
        <v>391</v>
      </c>
      <c r="F286" t="s">
        <v>37</v>
      </c>
      <c r="G286" t="s">
        <v>25</v>
      </c>
      <c r="I286" t="s">
        <v>133</v>
      </c>
      <c r="J286" t="s">
        <v>133</v>
      </c>
      <c r="K286">
        <v>259</v>
      </c>
      <c r="L286" t="s">
        <v>36</v>
      </c>
      <c r="N286" t="s">
        <v>180</v>
      </c>
      <c r="O286" t="s">
        <v>181</v>
      </c>
    </row>
    <row r="287" spans="1:15" x14ac:dyDescent="0.3">
      <c r="A287" t="s">
        <v>133</v>
      </c>
      <c r="B287" t="s">
        <v>22</v>
      </c>
      <c r="C287" t="s">
        <v>389</v>
      </c>
      <c r="D287">
        <v>61</v>
      </c>
      <c r="E287" t="s">
        <v>391</v>
      </c>
      <c r="F287" t="s">
        <v>37</v>
      </c>
      <c r="G287" t="s">
        <v>25</v>
      </c>
      <c r="I287" t="s">
        <v>133</v>
      </c>
      <c r="J287" t="s">
        <v>133</v>
      </c>
      <c r="K287">
        <v>259</v>
      </c>
      <c r="L287" t="s">
        <v>36</v>
      </c>
      <c r="N287" t="s">
        <v>180</v>
      </c>
      <c r="O287" t="s">
        <v>181</v>
      </c>
    </row>
    <row r="288" spans="1:15" x14ac:dyDescent="0.3">
      <c r="A288" t="s">
        <v>133</v>
      </c>
      <c r="B288" t="s">
        <v>22</v>
      </c>
      <c r="C288" t="s">
        <v>390</v>
      </c>
      <c r="D288">
        <v>20</v>
      </c>
      <c r="E288" t="s">
        <v>391</v>
      </c>
      <c r="F288" t="s">
        <v>37</v>
      </c>
      <c r="G288" t="s">
        <v>25</v>
      </c>
      <c r="I288" t="s">
        <v>133</v>
      </c>
      <c r="J288" t="s">
        <v>133</v>
      </c>
      <c r="K288">
        <v>259</v>
      </c>
      <c r="L288" t="s">
        <v>36</v>
      </c>
      <c r="N288" t="s">
        <v>180</v>
      </c>
      <c r="O288" t="s">
        <v>181</v>
      </c>
    </row>
    <row r="289" spans="1:14" x14ac:dyDescent="0.3">
      <c r="A289" t="s">
        <v>284</v>
      </c>
      <c r="B289" t="s">
        <v>22</v>
      </c>
      <c r="C289" t="s">
        <v>283</v>
      </c>
      <c r="D289">
        <v>38</v>
      </c>
      <c r="E289" t="s">
        <v>391</v>
      </c>
      <c r="F289" t="s">
        <v>37</v>
      </c>
      <c r="G289" t="s">
        <v>25</v>
      </c>
      <c r="I289" t="s">
        <v>284</v>
      </c>
      <c r="J289" t="s">
        <v>284</v>
      </c>
      <c r="K289">
        <v>732</v>
      </c>
      <c r="L289" t="s">
        <v>36</v>
      </c>
      <c r="N289" t="s">
        <v>180</v>
      </c>
    </row>
    <row r="290" spans="1:14" x14ac:dyDescent="0.3">
      <c r="L290" t="s">
        <v>36</v>
      </c>
    </row>
    <row r="291" spans="1:14" x14ac:dyDescent="0.3">
      <c r="L291" t="s">
        <v>36</v>
      </c>
    </row>
    <row r="292" spans="1:14" x14ac:dyDescent="0.3">
      <c r="L292" t="s">
        <v>36</v>
      </c>
    </row>
    <row r="293" spans="1:14" x14ac:dyDescent="0.3">
      <c r="L293" t="s">
        <v>36</v>
      </c>
    </row>
    <row r="294" spans="1:14" x14ac:dyDescent="0.3">
      <c r="L294" t="s">
        <v>36</v>
      </c>
    </row>
    <row r="295" spans="1:14" x14ac:dyDescent="0.3">
      <c r="L295" t="s">
        <v>36</v>
      </c>
    </row>
    <row r="296" spans="1:14" x14ac:dyDescent="0.3">
      <c r="L296" t="s">
        <v>36</v>
      </c>
    </row>
    <row r="297" spans="1:14" x14ac:dyDescent="0.3">
      <c r="L297" t="s">
        <v>36</v>
      </c>
    </row>
    <row r="298" spans="1:14" x14ac:dyDescent="0.3">
      <c r="L298" t="s">
        <v>36</v>
      </c>
    </row>
    <row r="299" spans="1:14" x14ac:dyDescent="0.3">
      <c r="L299" t="s">
        <v>36</v>
      </c>
    </row>
    <row r="300" spans="1:14" x14ac:dyDescent="0.3">
      <c r="L300" t="s">
        <v>36</v>
      </c>
    </row>
    <row r="301" spans="1:14" x14ac:dyDescent="0.3">
      <c r="L301" t="s">
        <v>36</v>
      </c>
    </row>
    <row r="302" spans="1:14" x14ac:dyDescent="0.3">
      <c r="L302" t="s">
        <v>36</v>
      </c>
    </row>
    <row r="303" spans="1:14" x14ac:dyDescent="0.3">
      <c r="L303" t="s">
        <v>36</v>
      </c>
    </row>
    <row r="304" spans="1:14" x14ac:dyDescent="0.3">
      <c r="L304" t="s">
        <v>36</v>
      </c>
    </row>
    <row r="305" spans="12:12" x14ac:dyDescent="0.3">
      <c r="L305" t="s">
        <v>36</v>
      </c>
    </row>
    <row r="306" spans="12:12" x14ac:dyDescent="0.3">
      <c r="L306" t="s">
        <v>36</v>
      </c>
    </row>
    <row r="307" spans="12:12" x14ac:dyDescent="0.3">
      <c r="L307" t="s">
        <v>36</v>
      </c>
    </row>
    <row r="308" spans="12:12" x14ac:dyDescent="0.3">
      <c r="L308" t="s">
        <v>36</v>
      </c>
    </row>
    <row r="309" spans="12:12" x14ac:dyDescent="0.3">
      <c r="L309" t="s">
        <v>36</v>
      </c>
    </row>
    <row r="310" spans="12:12" x14ac:dyDescent="0.3">
      <c r="L310" t="s">
        <v>36</v>
      </c>
    </row>
    <row r="311" spans="12:12" x14ac:dyDescent="0.3">
      <c r="L311" t="s">
        <v>36</v>
      </c>
    </row>
    <row r="312" spans="12:12" x14ac:dyDescent="0.3">
      <c r="L312" t="s">
        <v>36</v>
      </c>
    </row>
    <row r="313" spans="12:12" x14ac:dyDescent="0.3">
      <c r="L313" t="s">
        <v>36</v>
      </c>
    </row>
    <row r="314" spans="12:12" x14ac:dyDescent="0.3">
      <c r="L314" t="s">
        <v>36</v>
      </c>
    </row>
    <row r="315" spans="12:12" x14ac:dyDescent="0.3">
      <c r="L315" t="s">
        <v>36</v>
      </c>
    </row>
    <row r="316" spans="12:12" x14ac:dyDescent="0.3">
      <c r="L316" t="s">
        <v>36</v>
      </c>
    </row>
    <row r="317" spans="12:12" x14ac:dyDescent="0.3">
      <c r="L317" t="s">
        <v>36</v>
      </c>
    </row>
    <row r="318" spans="12:12" x14ac:dyDescent="0.3">
      <c r="L318" t="s">
        <v>36</v>
      </c>
    </row>
    <row r="319" spans="12:12" x14ac:dyDescent="0.3">
      <c r="L319" t="s">
        <v>36</v>
      </c>
    </row>
    <row r="320" spans="12:12" x14ac:dyDescent="0.3">
      <c r="L320" t="s">
        <v>36</v>
      </c>
    </row>
    <row r="321" spans="12:12" x14ac:dyDescent="0.3">
      <c r="L321" t="s">
        <v>36</v>
      </c>
    </row>
    <row r="322" spans="12:12" x14ac:dyDescent="0.3">
      <c r="L322" t="s">
        <v>36</v>
      </c>
    </row>
    <row r="323" spans="12:12" x14ac:dyDescent="0.3">
      <c r="L323" t="s">
        <v>36</v>
      </c>
    </row>
    <row r="324" spans="12:12" x14ac:dyDescent="0.3">
      <c r="L324" t="s">
        <v>36</v>
      </c>
    </row>
    <row r="325" spans="12:12" x14ac:dyDescent="0.3">
      <c r="L325" t="s">
        <v>36</v>
      </c>
    </row>
    <row r="326" spans="12:12" x14ac:dyDescent="0.3">
      <c r="L326" t="s">
        <v>36</v>
      </c>
    </row>
    <row r="327" spans="12:12" x14ac:dyDescent="0.3">
      <c r="L327" t="s">
        <v>36</v>
      </c>
    </row>
    <row r="328" spans="12:12" x14ac:dyDescent="0.3">
      <c r="L328" t="s">
        <v>36</v>
      </c>
    </row>
    <row r="329" spans="12:12" x14ac:dyDescent="0.3">
      <c r="L329" t="s">
        <v>36</v>
      </c>
    </row>
    <row r="330" spans="12:12" x14ac:dyDescent="0.3">
      <c r="L330" t="s">
        <v>36</v>
      </c>
    </row>
    <row r="331" spans="12:12" x14ac:dyDescent="0.3">
      <c r="L331" t="s">
        <v>36</v>
      </c>
    </row>
  </sheetData>
  <autoFilter ref="A1:Y333" xr:uid="{518EB3FE-0922-44C9-9050-7BB2C989CB9A}"/>
  <mergeCells count="1">
    <mergeCell ref="A26:O26"/>
  </mergeCells>
  <dataValidations count="10">
    <dataValidation type="list" allowBlank="1" showInputMessage="1" showErrorMessage="1" sqref="B27 B2:B25 B333:B610 B30:B331" xr:uid="{F7EC6DD5-C824-4841-B515-FA03CBEC8E1C}">
      <formula1>$U$2:$U$8</formula1>
    </dataValidation>
    <dataValidation type="list" allowBlank="1" showInputMessage="1" showErrorMessage="1" sqref="F27:H27 F2:H25 F30:H119 F289:G331 F333:H346 H267:H331" xr:uid="{487E43B7-72A4-46DB-A72B-32C2C2473CAB}">
      <formula1>$R$2:$R$6</formula1>
    </dataValidation>
    <dataValidation type="list" allowBlank="1" showInputMessage="1" showErrorMessage="1" sqref="L2:L25 L333:L346 L27:L331" xr:uid="{13A4E77B-87A7-4F89-A2BA-A6E67B17AF1B}">
      <formula1>$Q$2:$Q$3</formula1>
    </dataValidation>
    <dataValidation type="list" allowBlank="1" showInputMessage="1" showErrorMessage="1" sqref="F28:H29 M2:M25 M27:M346 F120:H266 F267:G288" xr:uid="{788BB370-4CBE-4D64-A516-A44774F1C7D1}">
      <formula1>$R$2:$R$4</formula1>
    </dataValidation>
    <dataValidation type="list" allowBlank="1" showInputMessage="1" showErrorMessage="1" sqref="N27 N2:N25 N30:N119 N290:N538" xr:uid="{E961E150-A3AC-422F-B15A-7248A22941D9}">
      <formula1>$X$2:$X$6</formula1>
    </dataValidation>
    <dataValidation type="list" allowBlank="1" showInputMessage="1" showErrorMessage="1" sqref="N28:N29 N120:N289" xr:uid="{6CF32944-8657-48AF-9EA5-54870CB97682}">
      <formula1>$T$2:$T$7</formula1>
    </dataValidation>
    <dataValidation type="list" allowBlank="1" showInputMessage="1" showErrorMessage="1" sqref="B28:B29" xr:uid="{9DA3135D-F3BD-4529-A641-17729DBE7E07}">
      <formula1>$U$2:$U$5</formula1>
    </dataValidation>
    <dataValidation type="list" allowBlank="1" showInputMessage="1" showErrorMessage="1" sqref="I10 A2:A25 A27 C107:C108 A29:A119 A289:A331 A333:A450" xr:uid="{1CA050BF-8E58-4015-9644-3E2C6055E3D3}">
      <formula1>$S$2:$S$33</formula1>
    </dataValidation>
    <dataValidation type="list" allowBlank="1" showInputMessage="1" showErrorMessage="1" sqref="I2:I9 I27:J27 I11:I25 J2:J25 I30:J119 I289:J331 I333:J346" xr:uid="{3BAB4537-208D-431A-A694-506790D643AA}">
      <formula1>$S$2:$S$49</formula1>
    </dataValidation>
    <dataValidation type="list" allowBlank="1" showInputMessage="1" showErrorMessage="1" sqref="I28:J29 I120:J288" xr:uid="{64C56B55-FFED-4EC2-833C-DD597D0F4AD3}">
      <formula1>$S$2:$S$208</formula1>
    </dataValidation>
  </dataValidations>
  <hyperlinks>
    <hyperlink ref="E2" r:id="rId1" xr:uid="{E3904841-BD10-4D11-932F-3E40938BE5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DFEE-6C97-49D3-BDDB-BD929AB130BD}">
  <dimension ref="A1:AA12"/>
  <sheetViews>
    <sheetView workbookViewId="0"/>
  </sheetViews>
  <sheetFormatPr defaultRowHeight="14.4" x14ac:dyDescent="0.3"/>
  <cols>
    <col min="1" max="1" width="13.6640625" bestFit="1" customWidth="1"/>
    <col min="2" max="2" width="18.44140625" customWidth="1"/>
    <col min="3" max="3" width="9.6640625" bestFit="1" customWidth="1"/>
    <col min="4" max="4" width="12.33203125" bestFit="1" customWidth="1"/>
    <col min="5" max="5" width="34" customWidth="1"/>
    <col min="6" max="6" width="37.6640625" customWidth="1"/>
    <col min="7" max="7" width="72.88671875" customWidth="1"/>
    <col min="8" max="8" width="30.6640625" bestFit="1" customWidth="1"/>
    <col min="9" max="9" width="7" bestFit="1" customWidth="1"/>
    <col min="10" max="10" width="33.44140625" bestFit="1" customWidth="1"/>
    <col min="11" max="11" width="16" bestFit="1" customWidth="1"/>
    <col min="12" max="12" width="21.44140625" bestFit="1" customWidth="1"/>
    <col min="13" max="13" width="13.44140625" bestFit="1" customWidth="1"/>
    <col min="22" max="22" width="13.33203125" bestFit="1" customWidth="1"/>
    <col min="23" max="23" width="7" bestFit="1" customWidth="1"/>
    <col min="24" max="24" width="12.33203125" bestFit="1" customWidth="1"/>
    <col min="25" max="25" width="43.6640625" customWidth="1"/>
    <col min="26" max="26" width="70.33203125" customWidth="1"/>
  </cols>
  <sheetData>
    <row r="1" spans="1:27" x14ac:dyDescent="0.3">
      <c r="A1" t="s">
        <v>0</v>
      </c>
      <c r="B1" t="s">
        <v>90</v>
      </c>
      <c r="C1" t="s">
        <v>91</v>
      </c>
      <c r="D1" t="s">
        <v>15</v>
      </c>
      <c r="E1" t="s">
        <v>92</v>
      </c>
      <c r="F1" t="s">
        <v>93</v>
      </c>
      <c r="G1" t="s">
        <v>16</v>
      </c>
      <c r="H1" t="s">
        <v>94</v>
      </c>
      <c r="I1" t="s">
        <v>11</v>
      </c>
      <c r="J1" t="s">
        <v>12</v>
      </c>
      <c r="K1" t="s">
        <v>95</v>
      </c>
      <c r="L1" t="s">
        <v>96</v>
      </c>
      <c r="M1" t="s">
        <v>97</v>
      </c>
      <c r="N1" t="s">
        <v>98</v>
      </c>
      <c r="V1" t="s">
        <v>18</v>
      </c>
      <c r="W1" t="s">
        <v>11</v>
      </c>
      <c r="X1" t="s">
        <v>15</v>
      </c>
      <c r="Y1" t="s">
        <v>99</v>
      </c>
      <c r="Z1" t="s">
        <v>16</v>
      </c>
      <c r="AA1" t="s">
        <v>92</v>
      </c>
    </row>
    <row r="2" spans="1:27" x14ac:dyDescent="0.3">
      <c r="B2" t="s">
        <v>100</v>
      </c>
      <c r="C2" s="2">
        <v>4.4502314814814814E-2</v>
      </c>
      <c r="D2" t="s">
        <v>25</v>
      </c>
      <c r="E2" t="s">
        <v>101</v>
      </c>
      <c r="F2" t="s">
        <v>102</v>
      </c>
      <c r="G2" t="s">
        <v>103</v>
      </c>
      <c r="H2" s="1" t="s">
        <v>104</v>
      </c>
      <c r="I2" t="s">
        <v>27</v>
      </c>
      <c r="K2" t="s">
        <v>31</v>
      </c>
      <c r="L2" t="s">
        <v>22</v>
      </c>
      <c r="M2" t="s">
        <v>25</v>
      </c>
      <c r="N2" t="s">
        <v>25</v>
      </c>
      <c r="V2" t="s">
        <v>31</v>
      </c>
      <c r="W2" t="s">
        <v>27</v>
      </c>
      <c r="X2" t="s">
        <v>25</v>
      </c>
      <c r="Y2" t="s">
        <v>102</v>
      </c>
      <c r="Z2" t="s">
        <v>103</v>
      </c>
      <c r="AA2" t="s">
        <v>101</v>
      </c>
    </row>
    <row r="3" spans="1:27" x14ac:dyDescent="0.3">
      <c r="B3" t="s">
        <v>105</v>
      </c>
      <c r="C3" s="2">
        <v>6.2500000000000003E-3</v>
      </c>
      <c r="D3" t="s">
        <v>25</v>
      </c>
      <c r="E3" t="s">
        <v>106</v>
      </c>
      <c r="F3" t="s">
        <v>107</v>
      </c>
      <c r="G3" t="s">
        <v>108</v>
      </c>
      <c r="H3" s="1" t="s">
        <v>109</v>
      </c>
      <c r="I3" t="s">
        <v>27</v>
      </c>
      <c r="K3" t="s">
        <v>31</v>
      </c>
      <c r="L3" t="s">
        <v>31</v>
      </c>
      <c r="M3" t="s">
        <v>25</v>
      </c>
      <c r="N3" t="s">
        <v>25</v>
      </c>
      <c r="V3" t="s">
        <v>22</v>
      </c>
      <c r="W3" t="s">
        <v>36</v>
      </c>
      <c r="X3" t="s">
        <v>37</v>
      </c>
      <c r="Y3" t="s">
        <v>110</v>
      </c>
      <c r="Z3" t="s">
        <v>108</v>
      </c>
      <c r="AA3" t="s">
        <v>106</v>
      </c>
    </row>
    <row r="4" spans="1:27" x14ac:dyDescent="0.3">
      <c r="B4" t="s">
        <v>105</v>
      </c>
      <c r="C4" s="2">
        <v>6.2500000000000003E-3</v>
      </c>
      <c r="D4" t="s">
        <v>25</v>
      </c>
      <c r="E4" t="s">
        <v>106</v>
      </c>
      <c r="F4" t="s">
        <v>107</v>
      </c>
      <c r="G4" t="s">
        <v>111</v>
      </c>
      <c r="H4" s="1" t="s">
        <v>112</v>
      </c>
      <c r="I4" t="s">
        <v>27</v>
      </c>
      <c r="K4" t="s">
        <v>31</v>
      </c>
      <c r="L4" t="s">
        <v>31</v>
      </c>
      <c r="M4" t="s">
        <v>25</v>
      </c>
      <c r="N4" t="s">
        <v>25</v>
      </c>
      <c r="V4" t="s">
        <v>43</v>
      </c>
      <c r="X4" t="s">
        <v>41</v>
      </c>
      <c r="Y4" t="s">
        <v>113</v>
      </c>
      <c r="Z4" t="s">
        <v>111</v>
      </c>
      <c r="AA4" t="s">
        <v>114</v>
      </c>
    </row>
    <row r="5" spans="1:27" x14ac:dyDescent="0.3">
      <c r="B5" t="s">
        <v>105</v>
      </c>
      <c r="C5" s="2">
        <v>6.2500000000000003E-3</v>
      </c>
      <c r="D5" t="s">
        <v>25</v>
      </c>
      <c r="E5" t="s">
        <v>106</v>
      </c>
      <c r="F5" t="s">
        <v>107</v>
      </c>
      <c r="G5" t="s">
        <v>115</v>
      </c>
      <c r="H5" s="1" t="s">
        <v>116</v>
      </c>
      <c r="I5" t="s">
        <v>27</v>
      </c>
      <c r="K5" t="s">
        <v>31</v>
      </c>
      <c r="L5" t="s">
        <v>31</v>
      </c>
      <c r="M5" t="s">
        <v>25</v>
      </c>
      <c r="N5" t="s">
        <v>25</v>
      </c>
      <c r="V5" t="s">
        <v>46</v>
      </c>
      <c r="Y5" t="s">
        <v>107</v>
      </c>
      <c r="Z5" t="s">
        <v>115</v>
      </c>
      <c r="AA5" t="s">
        <v>117</v>
      </c>
    </row>
    <row r="6" spans="1:27" x14ac:dyDescent="0.3">
      <c r="B6" t="s">
        <v>118</v>
      </c>
      <c r="C6" s="2">
        <v>4.2939814814814811E-3</v>
      </c>
      <c r="D6" t="s">
        <v>25</v>
      </c>
      <c r="E6" t="s">
        <v>106</v>
      </c>
      <c r="F6" t="s">
        <v>107</v>
      </c>
      <c r="G6" t="s">
        <v>119</v>
      </c>
      <c r="H6" s="1" t="s">
        <v>120</v>
      </c>
      <c r="I6" t="s">
        <v>27</v>
      </c>
      <c r="K6" t="s">
        <v>31</v>
      </c>
      <c r="L6" t="s">
        <v>31</v>
      </c>
      <c r="M6" t="s">
        <v>37</v>
      </c>
      <c r="N6" t="s">
        <v>37</v>
      </c>
      <c r="Y6" t="s">
        <v>121</v>
      </c>
      <c r="Z6" t="s">
        <v>119</v>
      </c>
    </row>
    <row r="7" spans="1:27" x14ac:dyDescent="0.3">
      <c r="B7" t="s">
        <v>100</v>
      </c>
      <c r="C7" s="2">
        <v>4.4502314814814814E-2</v>
      </c>
      <c r="D7" t="s">
        <v>25</v>
      </c>
      <c r="E7" t="s">
        <v>101</v>
      </c>
      <c r="F7" t="s">
        <v>102</v>
      </c>
      <c r="G7" t="s">
        <v>103</v>
      </c>
      <c r="H7" s="1" t="s">
        <v>122</v>
      </c>
      <c r="I7" t="s">
        <v>27</v>
      </c>
      <c r="K7" t="s">
        <v>22</v>
      </c>
      <c r="L7" t="s">
        <v>22</v>
      </c>
      <c r="M7" t="s">
        <v>25</v>
      </c>
      <c r="N7" t="s">
        <v>25</v>
      </c>
      <c r="Y7" t="s">
        <v>123</v>
      </c>
      <c r="Z7" t="s">
        <v>124</v>
      </c>
    </row>
    <row r="8" spans="1:27" x14ac:dyDescent="0.3">
      <c r="B8" t="s">
        <v>100</v>
      </c>
      <c r="C8" s="2">
        <v>4.4502314814814814E-2</v>
      </c>
      <c r="D8" t="s">
        <v>25</v>
      </c>
      <c r="E8" t="s">
        <v>101</v>
      </c>
      <c r="F8" t="s">
        <v>102</v>
      </c>
      <c r="G8" t="s">
        <v>124</v>
      </c>
      <c r="H8" s="1" t="s">
        <v>125</v>
      </c>
      <c r="I8" t="s">
        <v>27</v>
      </c>
      <c r="K8" t="s">
        <v>22</v>
      </c>
      <c r="L8" t="s">
        <v>22</v>
      </c>
      <c r="M8" t="s">
        <v>25</v>
      </c>
      <c r="N8" t="s">
        <v>25</v>
      </c>
      <c r="Z8" t="s">
        <v>126</v>
      </c>
    </row>
    <row r="9" spans="1:27" x14ac:dyDescent="0.3">
      <c r="B9" t="s">
        <v>100</v>
      </c>
      <c r="C9" s="2">
        <v>4.4502314814814814E-2</v>
      </c>
      <c r="D9" t="s">
        <v>25</v>
      </c>
      <c r="E9" t="s">
        <v>101</v>
      </c>
      <c r="F9" t="s">
        <v>102</v>
      </c>
      <c r="G9" t="s">
        <v>103</v>
      </c>
      <c r="H9" s="1" t="s">
        <v>127</v>
      </c>
      <c r="I9" t="s">
        <v>27</v>
      </c>
      <c r="K9" t="s">
        <v>22</v>
      </c>
      <c r="L9" t="s">
        <v>22</v>
      </c>
      <c r="M9" t="s">
        <v>25</v>
      </c>
      <c r="N9" t="s">
        <v>25</v>
      </c>
      <c r="Z9" t="s">
        <v>128</v>
      </c>
    </row>
    <row r="10" spans="1:27" x14ac:dyDescent="0.3">
      <c r="B10" t="s">
        <v>129</v>
      </c>
      <c r="C10" s="2">
        <v>2.7777777777777779E-3</v>
      </c>
      <c r="D10" t="s">
        <v>25</v>
      </c>
      <c r="E10" t="s">
        <v>114</v>
      </c>
      <c r="F10" t="s">
        <v>121</v>
      </c>
      <c r="G10" t="s">
        <v>126</v>
      </c>
      <c r="H10" s="1" t="s">
        <v>130</v>
      </c>
      <c r="I10" t="s">
        <v>27</v>
      </c>
      <c r="K10" t="s">
        <v>22</v>
      </c>
      <c r="L10" t="s">
        <v>22</v>
      </c>
      <c r="M10" t="s">
        <v>25</v>
      </c>
      <c r="N10" t="s">
        <v>25</v>
      </c>
    </row>
    <row r="11" spans="1:27" x14ac:dyDescent="0.3">
      <c r="B11" t="s">
        <v>129</v>
      </c>
      <c r="C11" s="2">
        <v>2.7777777777777779E-3</v>
      </c>
      <c r="D11" t="s">
        <v>25</v>
      </c>
      <c r="E11" t="s">
        <v>117</v>
      </c>
      <c r="F11" t="s">
        <v>123</v>
      </c>
      <c r="G11" t="s">
        <v>128</v>
      </c>
      <c r="H11" s="1" t="s">
        <v>131</v>
      </c>
      <c r="I11" t="s">
        <v>27</v>
      </c>
      <c r="K11" t="s">
        <v>22</v>
      </c>
      <c r="L11" t="s">
        <v>31</v>
      </c>
      <c r="M11" t="s">
        <v>25</v>
      </c>
      <c r="N11" t="s">
        <v>25</v>
      </c>
    </row>
    <row r="12" spans="1:27" x14ac:dyDescent="0.3">
      <c r="B12" t="s">
        <v>129</v>
      </c>
      <c r="C12" s="2">
        <v>2.7777777777777779E-3</v>
      </c>
      <c r="D12" t="s">
        <v>25</v>
      </c>
      <c r="E12" t="s">
        <v>117</v>
      </c>
      <c r="F12" t="s">
        <v>123</v>
      </c>
      <c r="G12" t="s">
        <v>128</v>
      </c>
      <c r="H12" t="s">
        <v>132</v>
      </c>
      <c r="K12" t="s">
        <v>22</v>
      </c>
      <c r="L12" t="s">
        <v>22</v>
      </c>
      <c r="M12" t="s">
        <v>25</v>
      </c>
      <c r="N12" t="s">
        <v>25</v>
      </c>
    </row>
  </sheetData>
  <dataValidations count="7">
    <dataValidation type="list" allowBlank="1" showInputMessage="1" showErrorMessage="1" sqref="K2:K22 L2:L36" xr:uid="{8774F63A-E069-4650-B7D4-902E67A162D5}">
      <formula1>$V$2:$V$5</formula1>
    </dataValidation>
    <dataValidation type="list" allowBlank="1" showInputMessage="1" showErrorMessage="1" sqref="I2:I166" xr:uid="{ADD69778-24BF-4A84-B188-22A402020E97}">
      <formula1>$W$2:$W$3</formula1>
    </dataValidation>
    <dataValidation type="list" allowBlank="1" showInputMessage="1" showErrorMessage="1" sqref="D1:D1048576 M2:M1048576 N2:N45" xr:uid="{736676F2-3050-4003-8AEE-D90D5B0B14B3}">
      <formula1>$X$2:$X$3</formula1>
    </dataValidation>
    <dataValidation type="list" allowBlank="1" showInputMessage="1" showErrorMessage="1" sqref="F1:F1048576" xr:uid="{F288787C-243F-4B98-9584-05E27DDA7147}">
      <formula1>$Y$2:$Y$40</formula1>
    </dataValidation>
    <dataValidation type="list" allowBlank="1" showInputMessage="1" showErrorMessage="1" sqref="G1:G1048576" xr:uid="{435F1964-11BF-4DDB-B193-FD4082538957}">
      <formula1>$Z$2:$Z$58</formula1>
    </dataValidation>
    <dataValidation type="list" allowBlank="1" showInputMessage="1" showErrorMessage="1" sqref="J1:J1048576" xr:uid="{1C1A8523-CFAB-4BB4-9CA2-75F8BD176B2D}">
      <formula1>$X$2:$X$4</formula1>
    </dataValidation>
    <dataValidation type="list" allowBlank="1" showInputMessage="1" showErrorMessage="1" sqref="E1:E1048576" xr:uid="{491FDF95-049B-46C8-BC8F-9FBA5E95F45D}">
      <formula1>$AA$2:$AA$40</formula1>
    </dataValidation>
  </dataValidations>
  <hyperlinks>
    <hyperlink ref="H2" r:id="rId1" xr:uid="{148892E2-2DA1-489B-A894-1BCD3EFAA904}"/>
    <hyperlink ref="H3" r:id="rId2" display="https://www.cve.org/CVERecord?id=CVE-2023-37466" xr:uid="{8EED0B9D-C360-4C50-84BD-CD60DF9F5F31}"/>
    <hyperlink ref="H4" r:id="rId3" display="https://www.cve.org/CVERecord?id=CVE-2023-37903" xr:uid="{C3EA7669-5F6F-4017-A6E6-58A61FE0BEF8}"/>
    <hyperlink ref="H5" r:id="rId4" display="https://www.cve.org/CVERecord?id=CVE-2023-32314" xr:uid="{9E1655E5-7B36-44A4-AEBD-59EC7A59E2DE}"/>
    <hyperlink ref="H6" r:id="rId5" display="https://github.com/advisories/GHSA-5mrr-rgp6-x4gr" xr:uid="{6C09BF02-35F1-4FFC-A7FB-6AAD24B3BFEE}"/>
    <hyperlink ref="H7" r:id="rId6" display="https://www.cve.org/CVERecord?id=CVE-2025-47944" xr:uid="{947BB748-D9A0-421C-B2F2-A896A207D824}"/>
    <hyperlink ref="H8" r:id="rId7" display="https://www.cve.org/CVERecord?id=CVE-2025-47935" xr:uid="{FEF8C5ED-0920-415F-9417-23C2D45CCFFF}"/>
    <hyperlink ref="H9" r:id="rId8" display="https://www.cve.org/CVERecord?id=CVE-2025-7338" xr:uid="{83483A91-9D3F-4385-8112-9B8470EA982C}"/>
    <hyperlink ref="H10" r:id="rId9" display="https://hackerone.com/reports/321687" xr:uid="{0BA17A10-5C91-4A6C-A30A-27FE1C97E733}"/>
    <hyperlink ref="H11" r:id="rId10" display="https://www.cve.org/CVERecord?id=CVE-2015-9235" xr:uid="{28986250-E7D1-4193-8AAB-DDC7DBC33971}"/>
  </hyperlinks>
  <pageMargins left="0.7" right="0.7" top="0.75" bottom="0.75" header="0.3" footer="0.3"/>
  <pageSetup orientation="portrait" r:id="rId11"/>
  <headerFooter>
    <oddHeader>&amp;R&amp;"Aptos"&amp;11&amp;K000000 TUNI Luottamuksellinen - Confidential (3Y)&amp;1#_x000D_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14F2-5657-44C3-9709-6653AD956DEF}">
  <dimension ref="A1:O17"/>
  <sheetViews>
    <sheetView workbookViewId="0"/>
  </sheetViews>
  <sheetFormatPr defaultRowHeight="14.4" x14ac:dyDescent="0.3"/>
  <cols>
    <col min="1" max="1" width="25.44140625" customWidth="1"/>
  </cols>
  <sheetData>
    <row r="1" spans="1:15" ht="28.2" thickBot="1" x14ac:dyDescent="0.35">
      <c r="A1" t="s">
        <v>318</v>
      </c>
      <c r="B1" t="s">
        <v>319</v>
      </c>
      <c r="N1" s="9" t="s">
        <v>318</v>
      </c>
      <c r="O1" s="9" t="s">
        <v>10</v>
      </c>
    </row>
    <row r="2" spans="1:15" ht="97.8" thickTop="1" thickBot="1" x14ac:dyDescent="0.35">
      <c r="A2" t="s">
        <v>323</v>
      </c>
      <c r="B2">
        <v>8.5</v>
      </c>
      <c r="N2" s="10" t="s">
        <v>320</v>
      </c>
      <c r="O2" s="11" t="s">
        <v>342</v>
      </c>
    </row>
    <row r="3" spans="1:15" ht="55.8" thickBot="1" x14ac:dyDescent="0.35">
      <c r="A3" t="s">
        <v>330</v>
      </c>
      <c r="B3">
        <v>16</v>
      </c>
      <c r="N3" s="10" t="s">
        <v>343</v>
      </c>
      <c r="O3" s="12" t="s">
        <v>344</v>
      </c>
    </row>
    <row r="4" spans="1:15" ht="42" thickBot="1" x14ac:dyDescent="0.35">
      <c r="A4" t="s">
        <v>245</v>
      </c>
      <c r="B4">
        <v>11.3</v>
      </c>
      <c r="N4" s="10" t="s">
        <v>322</v>
      </c>
      <c r="O4" s="11" t="s">
        <v>345</v>
      </c>
    </row>
    <row r="5" spans="1:15" ht="55.8" thickBot="1" x14ac:dyDescent="0.35">
      <c r="A5" t="s">
        <v>320</v>
      </c>
      <c r="B5">
        <v>10.4</v>
      </c>
      <c r="N5" s="10" t="s">
        <v>323</v>
      </c>
      <c r="O5" s="12" t="s">
        <v>346</v>
      </c>
    </row>
    <row r="6" spans="1:15" ht="97.2" thickBot="1" x14ac:dyDescent="0.35">
      <c r="A6" t="s">
        <v>332</v>
      </c>
      <c r="B6">
        <v>8.5</v>
      </c>
      <c r="N6" s="10" t="s">
        <v>324</v>
      </c>
      <c r="O6" s="11" t="s">
        <v>347</v>
      </c>
    </row>
    <row r="7" spans="1:15" ht="55.8" thickBot="1" x14ac:dyDescent="0.35">
      <c r="A7" t="s">
        <v>322</v>
      </c>
      <c r="B7">
        <v>8.5</v>
      </c>
      <c r="N7" s="10" t="s">
        <v>245</v>
      </c>
      <c r="O7" s="12" t="s">
        <v>349</v>
      </c>
    </row>
    <row r="8" spans="1:15" ht="42" thickBot="1" x14ac:dyDescent="0.35">
      <c r="A8" t="s">
        <v>329</v>
      </c>
      <c r="B8">
        <v>2.5</v>
      </c>
      <c r="N8" s="10" t="s">
        <v>325</v>
      </c>
      <c r="O8" s="11" t="s">
        <v>350</v>
      </c>
    </row>
    <row r="9" spans="1:15" ht="42" thickBot="1" x14ac:dyDescent="0.35">
      <c r="A9" t="s">
        <v>327</v>
      </c>
      <c r="B9">
        <v>5.7</v>
      </c>
      <c r="N9" s="10" t="s">
        <v>326</v>
      </c>
      <c r="O9" s="12" t="s">
        <v>351</v>
      </c>
    </row>
    <row r="10" spans="1:15" ht="28.2" thickBot="1" x14ac:dyDescent="0.35">
      <c r="A10" t="s">
        <v>326</v>
      </c>
      <c r="B10">
        <v>1.3</v>
      </c>
      <c r="N10" s="10" t="s">
        <v>327</v>
      </c>
      <c r="O10" s="10" t="s">
        <v>348</v>
      </c>
    </row>
    <row r="11" spans="1:15" ht="42" thickBot="1" x14ac:dyDescent="0.35">
      <c r="A11" t="s">
        <v>321</v>
      </c>
      <c r="B11">
        <v>3.8</v>
      </c>
      <c r="N11" s="10" t="s">
        <v>328</v>
      </c>
      <c r="O11" s="12" t="s">
        <v>352</v>
      </c>
    </row>
    <row r="12" spans="1:15" ht="55.8" thickBot="1" x14ac:dyDescent="0.35">
      <c r="A12" t="s">
        <v>325</v>
      </c>
      <c r="B12">
        <v>10.4</v>
      </c>
      <c r="N12" s="10" t="s">
        <v>329</v>
      </c>
      <c r="O12" s="12" t="s">
        <v>353</v>
      </c>
    </row>
    <row r="13" spans="1:15" ht="69.599999999999994" thickBot="1" x14ac:dyDescent="0.35">
      <c r="A13" t="s">
        <v>328</v>
      </c>
      <c r="B13">
        <v>3.8</v>
      </c>
      <c r="N13" s="10" t="s">
        <v>330</v>
      </c>
      <c r="O13" s="11" t="s">
        <v>354</v>
      </c>
    </row>
    <row r="14" spans="1:15" ht="55.8" thickBot="1" x14ac:dyDescent="0.35">
      <c r="A14" t="s">
        <v>324</v>
      </c>
      <c r="B14">
        <v>5.5</v>
      </c>
      <c r="N14" s="10" t="s">
        <v>331</v>
      </c>
      <c r="O14" s="12" t="s">
        <v>355</v>
      </c>
    </row>
    <row r="15" spans="1:15" ht="69.599999999999994" thickBot="1" x14ac:dyDescent="0.35">
      <c r="A15" t="s">
        <v>331</v>
      </c>
      <c r="B15">
        <v>1.4</v>
      </c>
      <c r="N15" s="10" t="s">
        <v>332</v>
      </c>
      <c r="O15" s="11" t="s">
        <v>356</v>
      </c>
    </row>
    <row r="16" spans="1:15" ht="55.8" thickBot="1" x14ac:dyDescent="0.35">
      <c r="A16" t="s">
        <v>333</v>
      </c>
      <c r="B16">
        <v>2.4</v>
      </c>
      <c r="N16" s="10" t="s">
        <v>333</v>
      </c>
      <c r="O16" s="12" t="s">
        <v>357</v>
      </c>
    </row>
    <row r="17" spans="14:15" ht="42" thickBot="1" x14ac:dyDescent="0.35">
      <c r="N17" s="10" t="s">
        <v>358</v>
      </c>
      <c r="O17" s="13" t="s">
        <v>359</v>
      </c>
    </row>
  </sheetData>
  <dataValidations count="1">
    <dataValidation type="decimal" allowBlank="1" showInputMessage="1" showErrorMessage="1" sqref="B1 B17:B1048576" xr:uid="{F1B3E0B5-F663-4253-901D-2523D431CB17}">
      <formula1>0</formula1>
      <formula2>100</formula2>
    </dataValidation>
  </dataValidations>
  <hyperlinks>
    <hyperlink ref="O3" r:id="rId1" display="http://cwe.mitre.org/data/definitions/362.html" xr:uid="{898C1EB8-DAE5-43C0-966C-F0E5068E3BDE}"/>
    <hyperlink ref="O5" r:id="rId2" display="https://cwe.mitre.org/data/definitions/79.html" xr:uid="{A6B36E96-1047-4CAB-8275-8578A130096A}"/>
    <hyperlink ref="O7" r:id="rId3" display="https://cwe.mitre.org/data/definitions/20.html" xr:uid="{2650099C-9530-4459-9997-1DC3EDFA141D}"/>
    <hyperlink ref="O9" r:id="rId4" display="https://cwe.mitre.org/data/definitions/502.html" xr:uid="{6A47FBD0-60F0-4F4C-A8B6-3108B0550D24}"/>
    <hyperlink ref="O11" r:id="rId5" display="https://cwe.mitre.org/data/definitions/209.html" xr:uid="{583D2F6C-9824-420C-B9D6-6CBCE6725D24}"/>
    <hyperlink ref="O12" r:id="rId6" display="https://cwe.mitre.org/data/definitions/656.html" xr:uid="{B7C79A63-01EA-4428-AEC1-81D4CAB16053}"/>
    <hyperlink ref="O14" r:id="rId7" display="https://cwe.mitre.org/data/definitions/601.html" xr:uid="{DE480596-7F70-4FE5-9872-F658411665BF}"/>
    <hyperlink ref="O16" r:id="rId8" display="https://cwe.mitre.org/data/definitions/611.html" xr:uid="{B1866C0A-3E56-4F7B-BE2E-65674FF40152}"/>
  </hyperlink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C413-2427-4FBA-BAB5-112BADFDE4D2}">
  <dimension ref="A1:AA19"/>
  <sheetViews>
    <sheetView topLeftCell="U1" workbookViewId="0"/>
  </sheetViews>
  <sheetFormatPr defaultRowHeight="14.4" x14ac:dyDescent="0.3"/>
  <cols>
    <col min="1" max="1" width="24.44140625" customWidth="1"/>
    <col min="3" max="4" width="16.33203125" customWidth="1"/>
    <col min="5" max="5" width="17.6640625" customWidth="1"/>
    <col min="8" max="8" width="32" customWidth="1"/>
    <col min="9" max="9" width="21.6640625" customWidth="1"/>
    <col min="11" max="11" width="29.33203125" customWidth="1"/>
    <col min="14" max="14" width="8.88671875" customWidth="1"/>
    <col min="15" max="15" width="18.109375" customWidth="1"/>
    <col min="16" max="16" width="16.33203125" customWidth="1"/>
    <col min="17" max="17" width="31.33203125" customWidth="1"/>
    <col min="21" max="21" width="25.44140625" customWidth="1"/>
    <col min="24" max="24" width="11.44140625" customWidth="1"/>
    <col min="25" max="25" width="44.6640625" customWidth="1"/>
    <col min="26" max="26" width="38.6640625" customWidth="1"/>
    <col min="31" max="31" width="78.6640625" customWidth="1"/>
    <col min="33" max="33" width="33" customWidth="1"/>
  </cols>
  <sheetData>
    <row r="1" spans="1:27" ht="28.8" x14ac:dyDescent="0.3">
      <c r="A1" s="8" t="s">
        <v>334</v>
      </c>
      <c r="B1" s="8" t="s">
        <v>340</v>
      </c>
      <c r="C1" s="8" t="s">
        <v>339</v>
      </c>
      <c r="D1" s="8" t="s">
        <v>6</v>
      </c>
      <c r="E1" s="8" t="s">
        <v>341</v>
      </c>
      <c r="F1" s="8" t="s">
        <v>10</v>
      </c>
      <c r="H1" s="4" t="s">
        <v>362</v>
      </c>
      <c r="I1" t="s">
        <v>363</v>
      </c>
      <c r="K1" t="s">
        <v>365</v>
      </c>
      <c r="O1" t="s">
        <v>363</v>
      </c>
      <c r="P1" t="s">
        <v>373</v>
      </c>
      <c r="Q1" t="s">
        <v>365</v>
      </c>
      <c r="U1" t="s">
        <v>372</v>
      </c>
      <c r="V1" t="s">
        <v>339</v>
      </c>
      <c r="W1" t="s">
        <v>340</v>
      </c>
      <c r="X1" t="s">
        <v>6</v>
      </c>
      <c r="Y1" t="s">
        <v>380</v>
      </c>
      <c r="Z1" t="s">
        <v>381</v>
      </c>
    </row>
    <row r="2" spans="1:27" ht="26.4" x14ac:dyDescent="0.3">
      <c r="A2" s="14" t="s">
        <v>140</v>
      </c>
      <c r="B2" s="15">
        <v>8</v>
      </c>
      <c r="C2" s="15">
        <v>8</v>
      </c>
      <c r="D2" s="15">
        <f>SUM(-B2, C2)</f>
        <v>0</v>
      </c>
      <c r="E2" s="15">
        <f>B2/C2*100</f>
        <v>100</v>
      </c>
      <c r="F2" s="15">
        <v>770</v>
      </c>
      <c r="G2" s="16"/>
      <c r="H2" s="17" t="s">
        <v>327</v>
      </c>
      <c r="I2" s="17" t="s">
        <v>327</v>
      </c>
      <c r="J2" s="16">
        <v>10</v>
      </c>
      <c r="K2">
        <v>0</v>
      </c>
      <c r="O2" s="17" t="s">
        <v>327</v>
      </c>
      <c r="P2">
        <v>10</v>
      </c>
      <c r="Q2">
        <v>0</v>
      </c>
      <c r="U2" t="s">
        <v>323</v>
      </c>
      <c r="V2">
        <v>10</v>
      </c>
      <c r="W2">
        <f xml:space="preserve"> V2-X2</f>
        <v>10</v>
      </c>
      <c r="X2">
        <v>0</v>
      </c>
      <c r="Y2" s="60">
        <f xml:space="preserve"> V2 / SUM(V2:V16)</f>
        <v>3.6764705882352942E-2</v>
      </c>
      <c r="Z2" s="60">
        <f xml:space="preserve"> W2 / SUM(W2:W16)</f>
        <v>0.16666666666666666</v>
      </c>
    </row>
    <row r="3" spans="1:27" ht="28.8" x14ac:dyDescent="0.3">
      <c r="A3" s="19" t="s">
        <v>232</v>
      </c>
      <c r="B3" s="19">
        <v>2</v>
      </c>
      <c r="C3" s="19">
        <v>2</v>
      </c>
      <c r="D3" s="19">
        <f>SUM(-B3, C3)</f>
        <v>0</v>
      </c>
      <c r="E3" s="19">
        <f t="shared" ref="E3:E19" si="0">B3/C3*100</f>
        <v>100</v>
      </c>
      <c r="F3" s="19">
        <v>319</v>
      </c>
      <c r="G3" s="20"/>
      <c r="H3" s="18" t="s">
        <v>330</v>
      </c>
      <c r="I3" s="18" t="s">
        <v>330</v>
      </c>
      <c r="J3">
        <v>220</v>
      </c>
      <c r="K3">
        <v>212</v>
      </c>
      <c r="O3" s="18" t="s">
        <v>330</v>
      </c>
      <c r="P3">
        <v>220</v>
      </c>
      <c r="Q3">
        <v>212</v>
      </c>
      <c r="U3" t="s">
        <v>330</v>
      </c>
      <c r="V3">
        <v>220</v>
      </c>
      <c r="W3">
        <f xml:space="preserve"> V3-X3</f>
        <v>8</v>
      </c>
      <c r="X3">
        <v>212</v>
      </c>
      <c r="Y3" s="60">
        <f xml:space="preserve"> V3 / SUM(V2:V16)</f>
        <v>0.80882352941176472</v>
      </c>
      <c r="Z3" s="60">
        <f xml:space="preserve"> W3 / SUM(W2:W16)</f>
        <v>0.13333333333333333</v>
      </c>
      <c r="AA3" t="s">
        <v>366</v>
      </c>
    </row>
    <row r="4" spans="1:27" ht="28.8" x14ac:dyDescent="0.3">
      <c r="A4" s="21" t="s">
        <v>146</v>
      </c>
      <c r="B4" s="21">
        <v>1</v>
      </c>
      <c r="C4" s="21">
        <v>1</v>
      </c>
      <c r="D4" s="21">
        <f t="shared" ref="D4:D19" si="1">SUM(-B4, C4)</f>
        <v>0</v>
      </c>
      <c r="E4" s="21">
        <f t="shared" si="0"/>
        <v>100</v>
      </c>
      <c r="F4" s="21">
        <v>352</v>
      </c>
      <c r="G4" s="22"/>
      <c r="H4" s="23" t="s">
        <v>322</v>
      </c>
      <c r="I4" s="23" t="s">
        <v>322</v>
      </c>
      <c r="J4">
        <v>2</v>
      </c>
      <c r="K4">
        <v>0</v>
      </c>
      <c r="O4" s="23" t="s">
        <v>322</v>
      </c>
      <c r="P4">
        <v>2</v>
      </c>
      <c r="Q4">
        <v>0</v>
      </c>
      <c r="U4" t="s">
        <v>245</v>
      </c>
      <c r="V4">
        <v>11</v>
      </c>
      <c r="W4">
        <f t="shared" ref="W4:W16" si="2" xml:space="preserve"> V4-X4</f>
        <v>11</v>
      </c>
      <c r="X4">
        <v>0</v>
      </c>
      <c r="Y4" s="60">
        <f xml:space="preserve"> V4 / SUM(V2:V16)</f>
        <v>4.0441176470588237E-2</v>
      </c>
      <c r="Z4" s="60">
        <f xml:space="preserve"> W4 / SUM(W2:W16)</f>
        <v>0.18333333333333332</v>
      </c>
    </row>
    <row r="5" spans="1:27" ht="28.8" x14ac:dyDescent="0.3">
      <c r="A5" s="24" t="s">
        <v>55</v>
      </c>
      <c r="B5" s="24">
        <v>9</v>
      </c>
      <c r="C5" s="24">
        <v>9</v>
      </c>
      <c r="D5" s="24">
        <f t="shared" si="1"/>
        <v>0</v>
      </c>
      <c r="E5" s="24">
        <f t="shared" si="0"/>
        <v>100</v>
      </c>
      <c r="F5" s="24">
        <v>79</v>
      </c>
      <c r="G5" s="25"/>
      <c r="H5" s="26" t="s">
        <v>323</v>
      </c>
      <c r="I5" s="26" t="s">
        <v>323</v>
      </c>
      <c r="J5">
        <v>10</v>
      </c>
      <c r="K5">
        <v>0</v>
      </c>
      <c r="O5" s="26" t="s">
        <v>323</v>
      </c>
      <c r="P5">
        <v>10</v>
      </c>
      <c r="Q5">
        <v>0</v>
      </c>
      <c r="U5" t="s">
        <v>320</v>
      </c>
      <c r="V5">
        <v>6</v>
      </c>
      <c r="W5">
        <f t="shared" si="2"/>
        <v>6</v>
      </c>
      <c r="X5">
        <v>0</v>
      </c>
      <c r="Y5" s="60">
        <f xml:space="preserve"> V5 / SUM(V2:V16)</f>
        <v>2.2058823529411766E-2</v>
      </c>
      <c r="Z5" s="60">
        <f xml:space="preserve"> W5 / SUM(W2:W16)</f>
        <v>0.1</v>
      </c>
      <c r="AA5" t="s">
        <v>367</v>
      </c>
    </row>
    <row r="6" spans="1:27" ht="28.8" x14ac:dyDescent="0.3">
      <c r="A6" s="24" t="s">
        <v>143</v>
      </c>
      <c r="B6" s="24">
        <v>1</v>
      </c>
      <c r="C6" s="24">
        <v>1</v>
      </c>
      <c r="D6" s="24">
        <f t="shared" si="1"/>
        <v>0</v>
      </c>
      <c r="E6" s="24">
        <f t="shared" si="0"/>
        <v>100</v>
      </c>
      <c r="F6" s="24">
        <v>79</v>
      </c>
      <c r="G6" s="25"/>
      <c r="H6" s="26" t="s">
        <v>323</v>
      </c>
      <c r="I6" s="26" t="s">
        <v>323</v>
      </c>
      <c r="O6" s="41" t="s">
        <v>360</v>
      </c>
      <c r="P6">
        <v>11</v>
      </c>
      <c r="Q6">
        <v>0</v>
      </c>
      <c r="U6" t="s">
        <v>332</v>
      </c>
      <c r="V6">
        <v>0</v>
      </c>
      <c r="W6">
        <f t="shared" si="2"/>
        <v>0</v>
      </c>
      <c r="X6">
        <v>0</v>
      </c>
      <c r="Y6" s="60">
        <f xml:space="preserve"> V6 / SUM(V2:V16)</f>
        <v>0</v>
      </c>
      <c r="Z6" s="60">
        <f xml:space="preserve"> W6 / SUM(W2:W16)</f>
        <v>0</v>
      </c>
    </row>
    <row r="7" spans="1:27" ht="27.6" x14ac:dyDescent="0.3">
      <c r="A7" s="19" t="s">
        <v>33</v>
      </c>
      <c r="B7" s="19">
        <v>2</v>
      </c>
      <c r="C7" s="19">
        <v>37</v>
      </c>
      <c r="D7" s="19">
        <f t="shared" si="1"/>
        <v>35</v>
      </c>
      <c r="E7" s="19">
        <f t="shared" si="0"/>
        <v>5.4054054054054053</v>
      </c>
      <c r="F7" s="19">
        <v>547</v>
      </c>
      <c r="G7" s="20"/>
      <c r="H7" s="18" t="s">
        <v>330</v>
      </c>
      <c r="I7" s="18" t="s">
        <v>330</v>
      </c>
      <c r="O7" s="29" t="s">
        <v>325</v>
      </c>
      <c r="P7">
        <v>10</v>
      </c>
      <c r="Q7">
        <v>0</v>
      </c>
      <c r="U7" t="s">
        <v>322</v>
      </c>
      <c r="V7">
        <v>2</v>
      </c>
      <c r="W7">
        <f t="shared" si="2"/>
        <v>2</v>
      </c>
      <c r="X7">
        <v>0</v>
      </c>
      <c r="Y7" s="60">
        <f xml:space="preserve"> V7 / SUM(V2:V16)</f>
        <v>7.3529411764705881E-3</v>
      </c>
      <c r="Z7" s="60">
        <f xml:space="preserve"> W7 / SUM(W2:W16)</f>
        <v>3.3333333333333333E-2</v>
      </c>
      <c r="AA7" t="s">
        <v>368</v>
      </c>
    </row>
    <row r="8" spans="1:27" ht="28.8" x14ac:dyDescent="0.3">
      <c r="A8" s="19" t="s">
        <v>26</v>
      </c>
      <c r="B8" s="19">
        <v>3</v>
      </c>
      <c r="C8" s="19">
        <v>4</v>
      </c>
      <c r="D8" s="19">
        <f t="shared" si="1"/>
        <v>1</v>
      </c>
      <c r="E8" s="19">
        <f t="shared" si="0"/>
        <v>75</v>
      </c>
      <c r="F8" s="19">
        <v>547</v>
      </c>
      <c r="G8" s="20"/>
      <c r="H8" s="18" t="s">
        <v>330</v>
      </c>
      <c r="I8" s="18" t="s">
        <v>330</v>
      </c>
      <c r="O8" s="38" t="s">
        <v>331</v>
      </c>
      <c r="P8">
        <v>1</v>
      </c>
      <c r="Q8">
        <v>0</v>
      </c>
      <c r="U8" t="s">
        <v>329</v>
      </c>
      <c r="V8">
        <v>0</v>
      </c>
      <c r="W8">
        <f t="shared" si="2"/>
        <v>0</v>
      </c>
      <c r="X8">
        <v>0</v>
      </c>
      <c r="Y8" s="60">
        <f xml:space="preserve"> V8 / SUM(V2:V16)</f>
        <v>0</v>
      </c>
      <c r="Z8" s="60">
        <f xml:space="preserve"> W8 / SUM(W2:W16)</f>
        <v>0</v>
      </c>
    </row>
    <row r="9" spans="1:27" ht="28.8" x14ac:dyDescent="0.3">
      <c r="A9" s="39" t="s">
        <v>229</v>
      </c>
      <c r="B9" s="39">
        <v>11</v>
      </c>
      <c r="C9" s="39">
        <v>11</v>
      </c>
      <c r="D9" s="39">
        <f t="shared" si="1"/>
        <v>0</v>
      </c>
      <c r="E9" s="39">
        <f t="shared" si="0"/>
        <v>100</v>
      </c>
      <c r="F9" s="39">
        <v>1287</v>
      </c>
      <c r="G9" s="40"/>
      <c r="H9" s="41" t="s">
        <v>360</v>
      </c>
      <c r="I9" s="41" t="s">
        <v>360</v>
      </c>
      <c r="J9">
        <v>11</v>
      </c>
      <c r="K9">
        <v>0</v>
      </c>
      <c r="O9" s="32" t="s">
        <v>361</v>
      </c>
      <c r="P9">
        <v>6</v>
      </c>
      <c r="Q9">
        <v>0</v>
      </c>
      <c r="U9" t="s">
        <v>327</v>
      </c>
      <c r="V9">
        <v>10</v>
      </c>
      <c r="W9">
        <f t="shared" si="2"/>
        <v>10</v>
      </c>
      <c r="X9">
        <v>0</v>
      </c>
      <c r="Y9" s="60">
        <f xml:space="preserve"> V9 / SUM(V2:V16)</f>
        <v>3.6764705882352942E-2</v>
      </c>
      <c r="Z9" s="60">
        <f xml:space="preserve"> W9 / SUM(W2:W16)</f>
        <v>0.16666666666666666</v>
      </c>
      <c r="AA9" t="s">
        <v>369</v>
      </c>
    </row>
    <row r="10" spans="1:27" ht="27.6" x14ac:dyDescent="0.3">
      <c r="A10" s="19" t="s">
        <v>153</v>
      </c>
      <c r="B10" s="19">
        <v>1</v>
      </c>
      <c r="C10" s="19">
        <v>1</v>
      </c>
      <c r="D10" s="19">
        <f t="shared" si="1"/>
        <v>0</v>
      </c>
      <c r="E10" s="19">
        <f t="shared" si="0"/>
        <v>100</v>
      </c>
      <c r="F10" s="19">
        <v>200</v>
      </c>
      <c r="G10" s="20"/>
      <c r="H10" s="18" t="s">
        <v>330</v>
      </c>
      <c r="I10" s="18" t="s">
        <v>330</v>
      </c>
      <c r="O10" s="35" t="s">
        <v>324</v>
      </c>
      <c r="P10">
        <v>2</v>
      </c>
      <c r="Q10">
        <v>0</v>
      </c>
      <c r="U10" t="s">
        <v>326</v>
      </c>
      <c r="V10">
        <v>0</v>
      </c>
      <c r="W10">
        <f t="shared" si="2"/>
        <v>0</v>
      </c>
      <c r="X10">
        <v>0</v>
      </c>
      <c r="Y10" s="60">
        <f xml:space="preserve"> V10 / SUM(V2:V16)</f>
        <v>0</v>
      </c>
      <c r="Z10" s="60">
        <f xml:space="preserve"> W10 / SUM(W2:W16)</f>
        <v>0</v>
      </c>
    </row>
    <row r="11" spans="1:27" ht="27.6" x14ac:dyDescent="0.3">
      <c r="A11" s="21" t="s">
        <v>161</v>
      </c>
      <c r="B11" s="21">
        <v>1</v>
      </c>
      <c r="C11" s="21">
        <v>1</v>
      </c>
      <c r="D11" s="21">
        <f t="shared" si="1"/>
        <v>0</v>
      </c>
      <c r="E11" s="21">
        <f t="shared" si="0"/>
        <v>100</v>
      </c>
      <c r="F11" s="21">
        <v>347</v>
      </c>
      <c r="G11" s="22"/>
      <c r="H11" s="23" t="s">
        <v>364</v>
      </c>
      <c r="I11" s="23" t="s">
        <v>322</v>
      </c>
      <c r="O11" s="3"/>
      <c r="U11" t="s">
        <v>321</v>
      </c>
      <c r="V11">
        <v>0</v>
      </c>
      <c r="W11">
        <f t="shared" si="2"/>
        <v>0</v>
      </c>
      <c r="X11">
        <v>0</v>
      </c>
      <c r="Y11" s="60">
        <f xml:space="preserve"> V11 / SUM(V2:V16)</f>
        <v>0</v>
      </c>
      <c r="Z11" s="60">
        <f xml:space="preserve"> W11 / SUM(W2:W16)</f>
        <v>0</v>
      </c>
      <c r="AA11" t="s">
        <v>370</v>
      </c>
    </row>
    <row r="12" spans="1:27" x14ac:dyDescent="0.3">
      <c r="A12" s="27" t="s">
        <v>38</v>
      </c>
      <c r="B12" s="27">
        <v>5</v>
      </c>
      <c r="C12" s="27">
        <v>5</v>
      </c>
      <c r="D12" s="27">
        <f t="shared" si="1"/>
        <v>0</v>
      </c>
      <c r="E12" s="27">
        <f t="shared" si="0"/>
        <v>100</v>
      </c>
      <c r="F12" s="27">
        <v>943</v>
      </c>
      <c r="G12" s="28"/>
      <c r="H12" s="29" t="s">
        <v>325</v>
      </c>
      <c r="I12" s="29" t="s">
        <v>325</v>
      </c>
      <c r="J12">
        <v>10</v>
      </c>
      <c r="K12">
        <v>0</v>
      </c>
      <c r="U12" t="s">
        <v>325</v>
      </c>
      <c r="V12">
        <v>10</v>
      </c>
      <c r="W12">
        <f t="shared" si="2"/>
        <v>10</v>
      </c>
      <c r="X12">
        <v>0</v>
      </c>
      <c r="Y12" s="60">
        <f xml:space="preserve"> V12 / SUM(V2:V16)</f>
        <v>3.6764705882352942E-2</v>
      </c>
      <c r="Z12" s="60">
        <f xml:space="preserve"> W12 / SUM(W2:W16)</f>
        <v>0.16666666666666666</v>
      </c>
    </row>
    <row r="13" spans="1:27" x14ac:dyDescent="0.3">
      <c r="A13" s="36" t="s">
        <v>158</v>
      </c>
      <c r="B13" s="36">
        <v>1</v>
      </c>
      <c r="C13" s="36">
        <v>1</v>
      </c>
      <c r="D13" s="36">
        <f t="shared" si="1"/>
        <v>0</v>
      </c>
      <c r="E13" s="36">
        <f t="shared" si="0"/>
        <v>100</v>
      </c>
      <c r="F13" s="36">
        <v>601</v>
      </c>
      <c r="G13" s="37"/>
      <c r="H13" s="38" t="s">
        <v>331</v>
      </c>
      <c r="I13" s="38" t="s">
        <v>331</v>
      </c>
      <c r="J13">
        <v>1</v>
      </c>
      <c r="U13" t="s">
        <v>328</v>
      </c>
      <c r="V13">
        <v>0</v>
      </c>
      <c r="W13">
        <f t="shared" si="2"/>
        <v>0</v>
      </c>
      <c r="X13">
        <v>0</v>
      </c>
      <c r="Y13" s="60">
        <f xml:space="preserve"> V13 / SUM(V2:V16)</f>
        <v>0</v>
      </c>
      <c r="Z13" s="60">
        <f xml:space="preserve"> W13 / SUM(W2:W16)</f>
        <v>0</v>
      </c>
      <c r="AA13" t="s">
        <v>371</v>
      </c>
    </row>
    <row r="14" spans="1:27" ht="28.8" x14ac:dyDescent="0.3">
      <c r="A14" s="30" t="s">
        <v>42</v>
      </c>
      <c r="B14" s="30">
        <v>5</v>
      </c>
      <c r="C14" s="30">
        <v>5</v>
      </c>
      <c r="D14" s="30">
        <f t="shared" si="1"/>
        <v>0</v>
      </c>
      <c r="E14" s="30">
        <f t="shared" si="0"/>
        <v>100</v>
      </c>
      <c r="F14" s="30">
        <v>23</v>
      </c>
      <c r="G14" s="31"/>
      <c r="H14" s="32" t="s">
        <v>361</v>
      </c>
      <c r="I14" s="32" t="s">
        <v>361</v>
      </c>
      <c r="J14">
        <v>6</v>
      </c>
      <c r="K14">
        <v>0</v>
      </c>
      <c r="U14" t="s">
        <v>324</v>
      </c>
      <c r="V14">
        <v>2</v>
      </c>
      <c r="W14">
        <f t="shared" si="2"/>
        <v>2</v>
      </c>
      <c r="X14">
        <v>0</v>
      </c>
      <c r="Y14" s="60">
        <f xml:space="preserve"> V14 / SUM(V2:V16)</f>
        <v>7.3529411764705881E-3</v>
      </c>
      <c r="Z14" s="60">
        <f xml:space="preserve"> W14 / SUM(W2:W16)</f>
        <v>3.3333333333333333E-2</v>
      </c>
    </row>
    <row r="15" spans="1:27" x14ac:dyDescent="0.3">
      <c r="A15" s="8" t="s">
        <v>150</v>
      </c>
      <c r="B15" s="8">
        <v>2</v>
      </c>
      <c r="C15" s="8">
        <v>2</v>
      </c>
      <c r="D15" s="8">
        <f t="shared" si="1"/>
        <v>0</v>
      </c>
      <c r="E15" s="8">
        <f t="shared" si="0"/>
        <v>100</v>
      </c>
      <c r="F15" s="8">
        <v>1321</v>
      </c>
      <c r="H15" s="17" t="s">
        <v>327</v>
      </c>
      <c r="I15" s="17" t="s">
        <v>327</v>
      </c>
      <c r="O15" s="3"/>
      <c r="U15" t="s">
        <v>331</v>
      </c>
      <c r="V15">
        <v>1</v>
      </c>
      <c r="W15">
        <f t="shared" si="2"/>
        <v>1</v>
      </c>
      <c r="X15">
        <v>0</v>
      </c>
      <c r="Y15" s="60">
        <f xml:space="preserve"> V15 / SUM(V2:V16)</f>
        <v>3.6764705882352941E-3</v>
      </c>
      <c r="Z15" s="60">
        <f xml:space="preserve"> W15 / SUM(W2:W16)</f>
        <v>1.6666666666666666E-2</v>
      </c>
    </row>
    <row r="16" spans="1:27" ht="27.6" x14ac:dyDescent="0.3">
      <c r="A16" s="30" t="s">
        <v>49</v>
      </c>
      <c r="B16" s="30">
        <v>1</v>
      </c>
      <c r="C16" s="30">
        <v>1</v>
      </c>
      <c r="D16" s="30">
        <f t="shared" si="1"/>
        <v>0</v>
      </c>
      <c r="E16" s="30">
        <f t="shared" si="0"/>
        <v>100</v>
      </c>
      <c r="F16" s="30">
        <v>918</v>
      </c>
      <c r="G16" s="31"/>
      <c r="H16" s="32" t="s">
        <v>320</v>
      </c>
      <c r="I16" s="32" t="s">
        <v>320</v>
      </c>
      <c r="O16" s="3"/>
      <c r="U16" t="s">
        <v>333</v>
      </c>
      <c r="V16">
        <v>0</v>
      </c>
      <c r="W16">
        <f t="shared" si="2"/>
        <v>0</v>
      </c>
      <c r="X16">
        <v>0</v>
      </c>
      <c r="Y16" s="60">
        <f xml:space="preserve"> V16 / SUM(V2:V16)</f>
        <v>0</v>
      </c>
      <c r="Z16" s="60">
        <f xml:space="preserve"> W16 / SUM(W2:W16)</f>
        <v>0</v>
      </c>
    </row>
    <row r="17" spans="1:15" x14ac:dyDescent="0.3">
      <c r="A17" s="27" t="s">
        <v>53</v>
      </c>
      <c r="B17" s="27">
        <v>5</v>
      </c>
      <c r="C17" s="27">
        <v>5</v>
      </c>
      <c r="D17" s="27">
        <f t="shared" si="1"/>
        <v>0</v>
      </c>
      <c r="E17" s="27">
        <f t="shared" si="0"/>
        <v>100</v>
      </c>
      <c r="F17" s="27">
        <v>89</v>
      </c>
      <c r="G17" s="28"/>
      <c r="H17" s="29" t="s">
        <v>325</v>
      </c>
      <c r="I17" s="29" t="s">
        <v>325</v>
      </c>
      <c r="O17" s="3"/>
    </row>
    <row r="18" spans="1:15" ht="27.6" x14ac:dyDescent="0.3">
      <c r="A18" s="19" t="s">
        <v>383</v>
      </c>
      <c r="B18" s="19">
        <v>0</v>
      </c>
      <c r="C18" s="19">
        <v>176</v>
      </c>
      <c r="D18" s="19">
        <f t="shared" si="1"/>
        <v>176</v>
      </c>
      <c r="E18" s="19">
        <f t="shared" si="0"/>
        <v>0</v>
      </c>
      <c r="F18" s="19">
        <v>798</v>
      </c>
      <c r="G18" s="20"/>
      <c r="H18" s="18" t="s">
        <v>330</v>
      </c>
      <c r="I18" s="18" t="s">
        <v>330</v>
      </c>
      <c r="O18" s="3"/>
    </row>
    <row r="19" spans="1:15" ht="41.4" x14ac:dyDescent="0.3">
      <c r="A19" s="33" t="s">
        <v>235</v>
      </c>
      <c r="B19" s="33">
        <v>2</v>
      </c>
      <c r="C19" s="33">
        <v>2</v>
      </c>
      <c r="D19" s="33">
        <f t="shared" si="1"/>
        <v>0</v>
      </c>
      <c r="E19" s="33">
        <f t="shared" si="0"/>
        <v>100</v>
      </c>
      <c r="F19" s="33">
        <v>916</v>
      </c>
      <c r="G19" s="34"/>
      <c r="H19" s="35" t="s">
        <v>324</v>
      </c>
      <c r="I19" s="35" t="s">
        <v>324</v>
      </c>
      <c r="J19">
        <v>2</v>
      </c>
      <c r="K19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1832-396F-472F-813E-546872ACFA0A}">
  <dimension ref="A1:S19"/>
  <sheetViews>
    <sheetView tabSelected="1" topLeftCell="P1" zoomScale="84" workbookViewId="0">
      <selection activeCell="V4" sqref="V4"/>
    </sheetView>
  </sheetViews>
  <sheetFormatPr defaultRowHeight="14.4" x14ac:dyDescent="0.3"/>
  <cols>
    <col min="1" max="1" width="37" customWidth="1"/>
    <col min="2" max="2" width="9.44140625" customWidth="1"/>
    <col min="3" max="4" width="12.6640625" customWidth="1"/>
    <col min="5" max="5" width="13.44140625" customWidth="1"/>
    <col min="7" max="7" width="28" customWidth="1"/>
    <col min="8" max="8" width="26.5546875" customWidth="1"/>
    <col min="9" max="9" width="23.44140625" customWidth="1"/>
    <col min="10" max="10" width="8.88671875" customWidth="1"/>
    <col min="14" max="14" width="27.109375" customWidth="1"/>
    <col min="17" max="17" width="14.5546875" customWidth="1"/>
    <col min="18" max="18" width="41.33203125" customWidth="1"/>
    <col min="19" max="19" width="41" customWidth="1"/>
  </cols>
  <sheetData>
    <row r="1" spans="1:19" ht="28.8" x14ac:dyDescent="0.3">
      <c r="A1" s="8" t="s">
        <v>334</v>
      </c>
      <c r="B1" s="8" t="s">
        <v>340</v>
      </c>
      <c r="C1" s="8" t="s">
        <v>339</v>
      </c>
      <c r="D1" s="8" t="s">
        <v>6</v>
      </c>
      <c r="E1" s="8" t="s">
        <v>335</v>
      </c>
      <c r="F1" s="8" t="s">
        <v>10</v>
      </c>
      <c r="G1" s="4" t="s">
        <v>362</v>
      </c>
      <c r="H1" s="8" t="s">
        <v>375</v>
      </c>
      <c r="I1" s="8" t="s">
        <v>363</v>
      </c>
      <c r="J1" t="s">
        <v>365</v>
      </c>
      <c r="N1" t="s">
        <v>372</v>
      </c>
      <c r="O1" t="s">
        <v>339</v>
      </c>
      <c r="P1" t="s">
        <v>340</v>
      </c>
      <c r="Q1" t="s">
        <v>6</v>
      </c>
      <c r="R1" t="s">
        <v>380</v>
      </c>
      <c r="S1" t="s">
        <v>379</v>
      </c>
    </row>
    <row r="2" spans="1:19" x14ac:dyDescent="0.3">
      <c r="A2" s="42" t="s">
        <v>309</v>
      </c>
      <c r="B2" s="42">
        <v>1</v>
      </c>
      <c r="C2" s="42">
        <v>1</v>
      </c>
      <c r="D2" s="42">
        <v>0</v>
      </c>
      <c r="E2" s="42"/>
      <c r="F2" s="42">
        <v>346</v>
      </c>
      <c r="G2" s="43" t="s">
        <v>322</v>
      </c>
      <c r="H2" s="43" t="s">
        <v>322</v>
      </c>
      <c r="I2">
        <v>1</v>
      </c>
      <c r="J2">
        <v>0</v>
      </c>
      <c r="N2" t="s">
        <v>323</v>
      </c>
      <c r="O2">
        <v>9</v>
      </c>
      <c r="P2">
        <f xml:space="preserve"> O2-Q2</f>
        <v>9</v>
      </c>
      <c r="Q2">
        <v>0</v>
      </c>
      <c r="R2" s="60">
        <f xml:space="preserve"> O2 / SUM(O2:O16)</f>
        <v>3.1578947368421054E-2</v>
      </c>
      <c r="S2" s="60">
        <f xml:space="preserve"> P2 / SUM(P2:P16)</f>
        <v>0.18</v>
      </c>
    </row>
    <row r="3" spans="1:19" x14ac:dyDescent="0.3">
      <c r="A3" s="27" t="s">
        <v>310</v>
      </c>
      <c r="B3" s="27">
        <v>1</v>
      </c>
      <c r="C3" s="27">
        <v>1</v>
      </c>
      <c r="D3" s="27">
        <v>0</v>
      </c>
      <c r="E3" s="27"/>
      <c r="F3" s="27">
        <v>489</v>
      </c>
      <c r="G3" s="44" t="s">
        <v>376</v>
      </c>
      <c r="H3" s="44" t="s">
        <v>376</v>
      </c>
      <c r="I3">
        <v>1</v>
      </c>
      <c r="J3">
        <v>0</v>
      </c>
      <c r="N3" t="s">
        <v>330</v>
      </c>
      <c r="O3">
        <v>221</v>
      </c>
      <c r="P3">
        <f xml:space="preserve"> O3-Q3</f>
        <v>6</v>
      </c>
      <c r="Q3">
        <v>215</v>
      </c>
      <c r="R3" s="60">
        <f xml:space="preserve"> O3 / SUM(O2:O16)</f>
        <v>0.77543859649122804</v>
      </c>
      <c r="S3" s="60">
        <f xml:space="preserve"> P3 / SUM(P2:P16)</f>
        <v>0.12</v>
      </c>
    </row>
    <row r="4" spans="1:19" ht="27.6" x14ac:dyDescent="0.3">
      <c r="A4" s="45" t="s">
        <v>232</v>
      </c>
      <c r="B4" s="45">
        <v>3</v>
      </c>
      <c r="C4" s="45">
        <v>42</v>
      </c>
      <c r="D4" s="45">
        <v>39</v>
      </c>
      <c r="E4" s="45"/>
      <c r="F4" s="45">
        <v>319</v>
      </c>
      <c r="G4" s="46" t="s">
        <v>330</v>
      </c>
      <c r="H4" s="46" t="s">
        <v>330</v>
      </c>
      <c r="I4">
        <v>221</v>
      </c>
      <c r="J4">
        <v>215</v>
      </c>
      <c r="N4" t="s">
        <v>245</v>
      </c>
      <c r="O4">
        <v>19</v>
      </c>
      <c r="P4">
        <f t="shared" ref="P4:P16" si="0" xml:space="preserve"> O4-Q4</f>
        <v>10</v>
      </c>
      <c r="Q4">
        <v>9</v>
      </c>
      <c r="R4" s="60">
        <f xml:space="preserve"> O4 / SUM(O2:O16)</f>
        <v>6.6666666666666666E-2</v>
      </c>
      <c r="S4" s="60">
        <f xml:space="preserve"> P4 / SUM(P2:P16)</f>
        <v>0.2</v>
      </c>
    </row>
    <row r="5" spans="1:19" x14ac:dyDescent="0.3">
      <c r="A5" s="47" t="s">
        <v>287</v>
      </c>
      <c r="B5" s="47">
        <v>3</v>
      </c>
      <c r="C5" s="47">
        <v>3</v>
      </c>
      <c r="D5" s="47">
        <v>0</v>
      </c>
      <c r="E5" s="47"/>
      <c r="F5" s="47">
        <v>77</v>
      </c>
      <c r="G5" s="48" t="s">
        <v>325</v>
      </c>
      <c r="H5" s="48" t="s">
        <v>325</v>
      </c>
      <c r="I5">
        <v>12</v>
      </c>
      <c r="J5">
        <v>0</v>
      </c>
      <c r="N5" t="s">
        <v>320</v>
      </c>
      <c r="O5">
        <v>3</v>
      </c>
      <c r="P5">
        <f t="shared" si="0"/>
        <v>3</v>
      </c>
      <c r="Q5">
        <v>0</v>
      </c>
      <c r="R5" s="60">
        <f xml:space="preserve"> O5 / SUM(O2:O16)</f>
        <v>1.0526315789473684E-2</v>
      </c>
      <c r="S5" s="60">
        <f xml:space="preserve"> P5 / SUM(P2:P16)</f>
        <v>0.06</v>
      </c>
    </row>
    <row r="6" spans="1:19" x14ac:dyDescent="0.3">
      <c r="A6" s="49" t="s">
        <v>55</v>
      </c>
      <c r="B6" s="49">
        <v>9</v>
      </c>
      <c r="C6" s="49">
        <v>9</v>
      </c>
      <c r="D6" s="49">
        <v>0</v>
      </c>
      <c r="E6" s="49"/>
      <c r="F6" s="49">
        <v>79</v>
      </c>
      <c r="G6" s="50" t="s">
        <v>323</v>
      </c>
      <c r="H6" s="50" t="s">
        <v>323</v>
      </c>
      <c r="I6">
        <v>9</v>
      </c>
      <c r="J6">
        <v>0</v>
      </c>
      <c r="N6" t="s">
        <v>332</v>
      </c>
      <c r="O6">
        <v>3</v>
      </c>
      <c r="P6">
        <f t="shared" si="0"/>
        <v>3</v>
      </c>
      <c r="Q6">
        <v>0</v>
      </c>
      <c r="R6" s="60">
        <f xml:space="preserve"> O6 / SUM(O2:O16)</f>
        <v>1.0526315789473684E-2</v>
      </c>
      <c r="S6" s="60">
        <f xml:space="preserve"> P6 / SUM(P2:P16)</f>
        <v>0.06</v>
      </c>
    </row>
    <row r="7" spans="1:19" x14ac:dyDescent="0.3">
      <c r="A7" s="51" t="s">
        <v>317</v>
      </c>
      <c r="B7" s="51">
        <v>3</v>
      </c>
      <c r="C7" s="51">
        <v>3</v>
      </c>
      <c r="D7" s="51">
        <v>0</v>
      </c>
      <c r="E7" s="51"/>
      <c r="F7" s="51">
        <v>506</v>
      </c>
      <c r="G7" s="52" t="s">
        <v>332</v>
      </c>
      <c r="H7" s="52" t="s">
        <v>332</v>
      </c>
      <c r="I7">
        <v>3</v>
      </c>
      <c r="J7">
        <v>0</v>
      </c>
      <c r="N7" t="s">
        <v>322</v>
      </c>
      <c r="O7">
        <v>1</v>
      </c>
      <c r="P7">
        <f t="shared" si="0"/>
        <v>1</v>
      </c>
      <c r="Q7">
        <v>0</v>
      </c>
      <c r="R7" s="60">
        <f xml:space="preserve"> O7 / SUM(O2:O16)</f>
        <v>3.5087719298245615E-3</v>
      </c>
      <c r="S7" s="60">
        <f xml:space="preserve"> P7 / SUM(P2:P16)</f>
        <v>0.02</v>
      </c>
    </row>
    <row r="8" spans="1:19" x14ac:dyDescent="0.3">
      <c r="A8" s="21" t="s">
        <v>245</v>
      </c>
      <c r="B8" s="21">
        <v>10</v>
      </c>
      <c r="C8" s="21">
        <v>18</v>
      </c>
      <c r="D8" s="21">
        <v>8</v>
      </c>
      <c r="E8" s="21"/>
      <c r="F8" s="21">
        <v>20</v>
      </c>
      <c r="G8" s="53" t="s">
        <v>245</v>
      </c>
      <c r="H8" s="53" t="s">
        <v>245</v>
      </c>
      <c r="I8">
        <v>19</v>
      </c>
      <c r="J8">
        <v>9</v>
      </c>
      <c r="N8" t="s">
        <v>329</v>
      </c>
      <c r="O8">
        <v>0</v>
      </c>
      <c r="P8">
        <f t="shared" si="0"/>
        <v>0</v>
      </c>
      <c r="Q8">
        <v>0</v>
      </c>
      <c r="R8" s="60">
        <f xml:space="preserve"> O8 / SUM(O2:O16)</f>
        <v>0</v>
      </c>
      <c r="S8" s="60">
        <f xml:space="preserve"> P8 / SUM(P2:P16)</f>
        <v>0</v>
      </c>
    </row>
    <row r="9" spans="1:19" ht="27.6" x14ac:dyDescent="0.3">
      <c r="A9" s="54" t="s">
        <v>284</v>
      </c>
      <c r="B9" s="54">
        <v>2</v>
      </c>
      <c r="C9" s="54">
        <v>3</v>
      </c>
      <c r="D9" s="54">
        <v>1</v>
      </c>
      <c r="E9" s="54"/>
      <c r="F9" s="54">
        <v>723</v>
      </c>
      <c r="G9" s="55" t="s">
        <v>320</v>
      </c>
      <c r="H9" s="55" t="s">
        <v>320</v>
      </c>
      <c r="I9">
        <v>3</v>
      </c>
      <c r="J9">
        <v>0</v>
      </c>
      <c r="N9" t="s">
        <v>327</v>
      </c>
      <c r="O9">
        <v>1</v>
      </c>
      <c r="P9">
        <f t="shared" si="0"/>
        <v>1</v>
      </c>
      <c r="Q9">
        <v>0</v>
      </c>
      <c r="R9" s="60">
        <f xml:space="preserve"> O9 / SUM(O2:O16)</f>
        <v>3.5087719298245615E-3</v>
      </c>
      <c r="S9" s="60">
        <f xml:space="preserve"> P9 / SUM(P2:P16)</f>
        <v>0.02</v>
      </c>
    </row>
    <row r="10" spans="1:19" x14ac:dyDescent="0.3">
      <c r="A10" s="39" t="s">
        <v>313</v>
      </c>
      <c r="B10" s="39">
        <v>2</v>
      </c>
      <c r="C10" s="39">
        <v>2</v>
      </c>
      <c r="D10" s="39">
        <v>0</v>
      </c>
      <c r="E10" s="39"/>
      <c r="F10" s="39">
        <v>353</v>
      </c>
      <c r="G10" s="56" t="s">
        <v>324</v>
      </c>
      <c r="H10" s="56" t="s">
        <v>377</v>
      </c>
      <c r="I10">
        <v>15</v>
      </c>
      <c r="J10">
        <v>11</v>
      </c>
      <c r="N10" t="s">
        <v>326</v>
      </c>
      <c r="O10">
        <v>0</v>
      </c>
      <c r="P10">
        <f t="shared" si="0"/>
        <v>0</v>
      </c>
      <c r="Q10">
        <v>0</v>
      </c>
      <c r="R10" s="60">
        <f xml:space="preserve"> O10 / SUM(O2:O16)</f>
        <v>0</v>
      </c>
      <c r="S10" s="60">
        <f xml:space="preserve"> P10 / SUM(P2:P16)</f>
        <v>0</v>
      </c>
    </row>
    <row r="11" spans="1:19" x14ac:dyDescent="0.3">
      <c r="A11" s="47" t="s">
        <v>38</v>
      </c>
      <c r="B11" s="47">
        <v>6</v>
      </c>
      <c r="C11" s="47">
        <v>6</v>
      </c>
      <c r="D11" s="47">
        <v>0</v>
      </c>
      <c r="E11" s="47"/>
      <c r="F11" s="47">
        <v>943</v>
      </c>
      <c r="G11" s="48" t="s">
        <v>325</v>
      </c>
      <c r="H11" s="48" t="s">
        <v>325</v>
      </c>
      <c r="N11" t="s">
        <v>321</v>
      </c>
      <c r="O11">
        <v>0</v>
      </c>
      <c r="P11">
        <f t="shared" si="0"/>
        <v>0</v>
      </c>
      <c r="Q11">
        <v>0</v>
      </c>
      <c r="R11" s="60">
        <f xml:space="preserve"> O11 / SUM(O2:O16)</f>
        <v>0</v>
      </c>
      <c r="S11" s="60">
        <f xml:space="preserve"> P11 / SUM(P2:P16)</f>
        <v>0</v>
      </c>
    </row>
    <row r="12" spans="1:19" x14ac:dyDescent="0.3">
      <c r="A12" s="54" t="s">
        <v>49</v>
      </c>
      <c r="B12" s="54">
        <v>1</v>
      </c>
      <c r="C12" s="54">
        <v>1</v>
      </c>
      <c r="D12" s="54">
        <v>0</v>
      </c>
      <c r="E12" s="54"/>
      <c r="F12" s="54">
        <v>918</v>
      </c>
      <c r="G12" s="55" t="s">
        <v>320</v>
      </c>
      <c r="H12" s="55" t="s">
        <v>320</v>
      </c>
      <c r="N12" t="s">
        <v>325</v>
      </c>
      <c r="O12">
        <v>12</v>
      </c>
      <c r="P12">
        <f t="shared" si="0"/>
        <v>12</v>
      </c>
      <c r="Q12">
        <v>0</v>
      </c>
      <c r="R12" s="60">
        <f xml:space="preserve"> O12 / SUM(O2:O16)</f>
        <v>4.2105263157894736E-2</v>
      </c>
      <c r="S12" s="60">
        <f xml:space="preserve"> P12 / SUM(P2:P16)</f>
        <v>0.24</v>
      </c>
    </row>
    <row r="13" spans="1:19" ht="27.6" x14ac:dyDescent="0.3">
      <c r="A13" s="47" t="s">
        <v>336</v>
      </c>
      <c r="B13" s="47">
        <v>3</v>
      </c>
      <c r="C13" s="47">
        <v>3</v>
      </c>
      <c r="D13" s="47">
        <v>0</v>
      </c>
      <c r="E13" s="47"/>
      <c r="F13" s="47">
        <v>89</v>
      </c>
      <c r="G13" s="48" t="s">
        <v>325</v>
      </c>
      <c r="H13" s="48" t="s">
        <v>325</v>
      </c>
      <c r="N13" t="s">
        <v>328</v>
      </c>
      <c r="O13">
        <v>0</v>
      </c>
      <c r="P13">
        <f t="shared" si="0"/>
        <v>0</v>
      </c>
      <c r="Q13">
        <v>0</v>
      </c>
      <c r="R13" s="60">
        <f xml:space="preserve"> O13 / SUM(O2:O16)</f>
        <v>0</v>
      </c>
      <c r="S13" s="60">
        <f xml:space="preserve"> P13 / SUM(P2:P16)</f>
        <v>0</v>
      </c>
    </row>
    <row r="14" spans="1:19" ht="27.6" x14ac:dyDescent="0.3">
      <c r="A14" s="57" t="s">
        <v>263</v>
      </c>
      <c r="B14" s="57">
        <v>1</v>
      </c>
      <c r="C14" s="57">
        <v>1</v>
      </c>
      <c r="D14" s="57">
        <v>0</v>
      </c>
      <c r="E14" s="57"/>
      <c r="F14" s="57">
        <v>601</v>
      </c>
      <c r="G14" s="58" t="s">
        <v>331</v>
      </c>
      <c r="H14" s="58" t="s">
        <v>331</v>
      </c>
      <c r="I14">
        <v>1</v>
      </c>
      <c r="J14">
        <v>0</v>
      </c>
      <c r="N14" t="s">
        <v>324</v>
      </c>
      <c r="O14">
        <v>15</v>
      </c>
      <c r="P14">
        <f t="shared" si="0"/>
        <v>4</v>
      </c>
      <c r="Q14">
        <v>11</v>
      </c>
      <c r="R14" s="60">
        <f xml:space="preserve"> O14 / SUM(O2:O16)</f>
        <v>5.2631578947368418E-2</v>
      </c>
      <c r="S14" s="60">
        <f xml:space="preserve"> P14 / SUM(P2:P16)</f>
        <v>0.08</v>
      </c>
    </row>
    <row r="15" spans="1:19" x14ac:dyDescent="0.3">
      <c r="A15" s="39" t="s">
        <v>311</v>
      </c>
      <c r="B15" s="39">
        <v>2</v>
      </c>
      <c r="C15" s="39">
        <v>2</v>
      </c>
      <c r="D15" s="39">
        <v>0</v>
      </c>
      <c r="E15" s="39"/>
      <c r="F15" s="39">
        <v>1240</v>
      </c>
      <c r="G15" s="56" t="s">
        <v>324</v>
      </c>
      <c r="H15" s="56" t="s">
        <v>324</v>
      </c>
      <c r="N15" t="s">
        <v>331</v>
      </c>
      <c r="O15">
        <v>1</v>
      </c>
      <c r="P15">
        <f t="shared" si="0"/>
        <v>1</v>
      </c>
      <c r="Q15">
        <v>0</v>
      </c>
      <c r="R15" s="60">
        <f xml:space="preserve"> O15 / SUM(O2:O16)</f>
        <v>3.5087719298245615E-3</v>
      </c>
      <c r="S15" s="60">
        <f xml:space="preserve"> P15 / SUM(P2:P16)</f>
        <v>0.02</v>
      </c>
    </row>
    <row r="16" spans="1:19" ht="27.6" x14ac:dyDescent="0.3">
      <c r="A16" s="39" t="s">
        <v>288</v>
      </c>
      <c r="B16" s="39">
        <v>0</v>
      </c>
      <c r="C16" s="39">
        <v>11</v>
      </c>
      <c r="D16" s="39">
        <v>11</v>
      </c>
      <c r="E16" s="39"/>
      <c r="F16" s="39">
        <v>338</v>
      </c>
      <c r="G16" s="56" t="s">
        <v>324</v>
      </c>
      <c r="H16" s="56" t="s">
        <v>324</v>
      </c>
      <c r="N16" t="s">
        <v>333</v>
      </c>
      <c r="O16">
        <v>0</v>
      </c>
      <c r="P16">
        <f t="shared" si="0"/>
        <v>0</v>
      </c>
      <c r="Q16">
        <v>0</v>
      </c>
      <c r="R16" s="60">
        <f xml:space="preserve"> O16 / SUM(O2:O16)</f>
        <v>0</v>
      </c>
      <c r="S16" s="60">
        <f xml:space="preserve"> P16 / SUM(P2:P16)</f>
        <v>0</v>
      </c>
    </row>
    <row r="17" spans="1:19" x14ac:dyDescent="0.3">
      <c r="A17" s="45" t="s">
        <v>227</v>
      </c>
      <c r="B17" s="45">
        <v>1</v>
      </c>
      <c r="C17" s="45">
        <v>172</v>
      </c>
      <c r="D17" s="45">
        <v>171</v>
      </c>
      <c r="E17" s="45"/>
      <c r="F17" s="45">
        <v>798</v>
      </c>
      <c r="G17" s="46" t="s">
        <v>330</v>
      </c>
      <c r="H17" s="46" t="s">
        <v>330</v>
      </c>
      <c r="R17" s="59"/>
      <c r="S17" s="59"/>
    </row>
    <row r="18" spans="1:19" ht="86.4" x14ac:dyDescent="0.3">
      <c r="A18" s="21" t="s">
        <v>337</v>
      </c>
      <c r="B18" s="21">
        <v>0</v>
      </c>
      <c r="C18" s="21">
        <v>1</v>
      </c>
      <c r="D18" s="21">
        <v>1</v>
      </c>
      <c r="E18" s="21"/>
      <c r="F18" s="21">
        <v>20</v>
      </c>
      <c r="G18" s="53" t="s">
        <v>374</v>
      </c>
      <c r="H18" s="53" t="s">
        <v>374</v>
      </c>
      <c r="R18" s="59"/>
      <c r="S18" s="59"/>
    </row>
    <row r="19" spans="1:19" ht="96.6" x14ac:dyDescent="0.3">
      <c r="A19" s="45" t="s">
        <v>316</v>
      </c>
      <c r="B19" s="45">
        <v>2</v>
      </c>
      <c r="C19" s="45">
        <v>7</v>
      </c>
      <c r="D19" s="45">
        <v>5</v>
      </c>
      <c r="E19" s="45"/>
      <c r="F19" s="45" t="s">
        <v>338</v>
      </c>
      <c r="G19" s="46" t="s">
        <v>330</v>
      </c>
      <c r="H19" s="46" t="s">
        <v>378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DEF6-7E58-49F9-A0D7-2A5C176E31E0}">
  <dimension ref="A1:L20"/>
  <sheetViews>
    <sheetView workbookViewId="0"/>
  </sheetViews>
  <sheetFormatPr defaultRowHeight="14.4" x14ac:dyDescent="0.3"/>
  <cols>
    <col min="1" max="1" width="65.33203125" customWidth="1"/>
    <col min="2" max="2" width="53.109375" customWidth="1"/>
  </cols>
  <sheetData>
    <row r="1" spans="1:12" x14ac:dyDescent="0.3">
      <c r="A1" s="8" t="s">
        <v>27</v>
      </c>
      <c r="B1" s="4" t="s">
        <v>382</v>
      </c>
      <c r="I1" t="s">
        <v>323</v>
      </c>
      <c r="J1">
        <v>8.5</v>
      </c>
      <c r="K1" s="59">
        <v>0.17647058823529413</v>
      </c>
      <c r="L1" s="59">
        <v>0.16666666666666666</v>
      </c>
    </row>
    <row r="2" spans="1:12" x14ac:dyDescent="0.3">
      <c r="A2" s="8" t="s">
        <v>150</v>
      </c>
      <c r="B2" s="17" t="s">
        <v>327</v>
      </c>
      <c r="I2" t="s">
        <v>330</v>
      </c>
      <c r="J2">
        <v>16</v>
      </c>
      <c r="K2" s="59">
        <v>0.13725490196078433</v>
      </c>
      <c r="L2" s="59">
        <v>0.13333333333333333</v>
      </c>
    </row>
    <row r="3" spans="1:12" x14ac:dyDescent="0.3">
      <c r="A3" s="14" t="s">
        <v>140</v>
      </c>
      <c r="B3" s="17" t="s">
        <v>327</v>
      </c>
      <c r="I3" t="s">
        <v>245</v>
      </c>
      <c r="J3">
        <v>11.3</v>
      </c>
      <c r="K3" s="59">
        <v>0.19607843137254902</v>
      </c>
      <c r="L3" s="59">
        <v>0.18333333333333332</v>
      </c>
    </row>
    <row r="4" spans="1:12" x14ac:dyDescent="0.3">
      <c r="A4" s="24" t="s">
        <v>55</v>
      </c>
      <c r="B4" s="26" t="s">
        <v>323</v>
      </c>
      <c r="I4" t="s">
        <v>320</v>
      </c>
      <c r="J4">
        <v>10.4</v>
      </c>
      <c r="K4" s="59">
        <v>5.8823529411764705E-2</v>
      </c>
      <c r="L4" s="59">
        <v>0.1</v>
      </c>
    </row>
    <row r="5" spans="1:12" x14ac:dyDescent="0.3">
      <c r="A5" s="24" t="s">
        <v>143</v>
      </c>
      <c r="B5" s="26" t="s">
        <v>323</v>
      </c>
      <c r="I5" t="s">
        <v>332</v>
      </c>
      <c r="J5">
        <v>8.5</v>
      </c>
      <c r="K5" s="59">
        <v>5.8823529411764705E-2</v>
      </c>
      <c r="L5" s="59">
        <v>0</v>
      </c>
    </row>
    <row r="6" spans="1:12" x14ac:dyDescent="0.3">
      <c r="A6" s="19" t="s">
        <v>232</v>
      </c>
      <c r="B6" s="18" t="s">
        <v>330</v>
      </c>
      <c r="I6" t="s">
        <v>322</v>
      </c>
      <c r="J6">
        <v>8.5</v>
      </c>
      <c r="K6" s="59">
        <v>1.9607843137254902E-2</v>
      </c>
      <c r="L6" s="59">
        <v>3.3333333333333333E-2</v>
      </c>
    </row>
    <row r="7" spans="1:12" x14ac:dyDescent="0.3">
      <c r="A7" s="19" t="s">
        <v>33</v>
      </c>
      <c r="B7" s="18" t="s">
        <v>330</v>
      </c>
      <c r="I7" t="s">
        <v>329</v>
      </c>
      <c r="J7">
        <v>2.5</v>
      </c>
      <c r="K7" s="59">
        <v>0</v>
      </c>
      <c r="L7" s="59">
        <v>0</v>
      </c>
    </row>
    <row r="8" spans="1:12" x14ac:dyDescent="0.3">
      <c r="A8" s="19" t="s">
        <v>153</v>
      </c>
      <c r="B8" s="18" t="s">
        <v>330</v>
      </c>
      <c r="I8" t="s">
        <v>327</v>
      </c>
      <c r="J8">
        <v>5.7</v>
      </c>
      <c r="K8" s="59">
        <v>1.9607843137254902E-2</v>
      </c>
      <c r="L8" s="59">
        <v>0.16666666666666666</v>
      </c>
    </row>
    <row r="9" spans="1:12" x14ac:dyDescent="0.3">
      <c r="A9" s="19" t="s">
        <v>227</v>
      </c>
      <c r="B9" s="18" t="s">
        <v>330</v>
      </c>
      <c r="I9" t="s">
        <v>326</v>
      </c>
      <c r="J9">
        <v>1.3</v>
      </c>
      <c r="K9" s="59">
        <v>0</v>
      </c>
      <c r="L9" s="59">
        <v>0</v>
      </c>
    </row>
    <row r="10" spans="1:12" x14ac:dyDescent="0.3">
      <c r="A10" s="19" t="s">
        <v>133</v>
      </c>
      <c r="B10" s="18" t="s">
        <v>330</v>
      </c>
      <c r="I10" t="s">
        <v>321</v>
      </c>
      <c r="J10">
        <v>3.8</v>
      </c>
      <c r="K10" s="59">
        <v>0</v>
      </c>
      <c r="L10" s="59">
        <v>0</v>
      </c>
    </row>
    <row r="11" spans="1:12" x14ac:dyDescent="0.3">
      <c r="A11" s="19" t="s">
        <v>26</v>
      </c>
      <c r="B11" s="18" t="s">
        <v>330</v>
      </c>
      <c r="I11" t="s">
        <v>325</v>
      </c>
      <c r="J11">
        <v>10.4</v>
      </c>
      <c r="K11" s="59">
        <v>0.23529411764705882</v>
      </c>
      <c r="L11" s="59">
        <v>0.16666666666666666</v>
      </c>
    </row>
    <row r="12" spans="1:12" x14ac:dyDescent="0.3">
      <c r="A12" s="39" t="s">
        <v>229</v>
      </c>
      <c r="B12" s="41" t="s">
        <v>360</v>
      </c>
      <c r="I12" t="s">
        <v>328</v>
      </c>
      <c r="J12">
        <v>3.8</v>
      </c>
      <c r="K12" s="59">
        <v>0</v>
      </c>
      <c r="L12" s="59">
        <v>0</v>
      </c>
    </row>
    <row r="13" spans="1:12" x14ac:dyDescent="0.3">
      <c r="A13" s="21" t="s">
        <v>146</v>
      </c>
      <c r="B13" s="23" t="s">
        <v>322</v>
      </c>
      <c r="I13" t="s">
        <v>324</v>
      </c>
      <c r="J13">
        <v>5.5</v>
      </c>
      <c r="K13" s="59">
        <v>7.8431372549019607E-2</v>
      </c>
      <c r="L13" s="59">
        <v>3.3333333333333333E-2</v>
      </c>
    </row>
    <row r="14" spans="1:12" x14ac:dyDescent="0.3">
      <c r="A14" s="21" t="s">
        <v>161</v>
      </c>
      <c r="B14" s="23" t="s">
        <v>364</v>
      </c>
      <c r="I14" t="s">
        <v>331</v>
      </c>
      <c r="J14">
        <v>1.4</v>
      </c>
      <c r="K14" s="59">
        <v>1.9607843137254902E-2</v>
      </c>
      <c r="L14" s="59">
        <v>1.6666666666666666E-2</v>
      </c>
    </row>
    <row r="15" spans="1:12" x14ac:dyDescent="0.3">
      <c r="A15" s="27" t="s">
        <v>53</v>
      </c>
      <c r="B15" s="29" t="s">
        <v>325</v>
      </c>
      <c r="I15" t="s">
        <v>333</v>
      </c>
      <c r="J15">
        <v>2.4</v>
      </c>
      <c r="K15" s="59">
        <v>0</v>
      </c>
      <c r="L15" s="59">
        <v>0</v>
      </c>
    </row>
    <row r="16" spans="1:12" x14ac:dyDescent="0.3">
      <c r="A16" s="27" t="s">
        <v>38</v>
      </c>
      <c r="B16" s="29" t="s">
        <v>325</v>
      </c>
    </row>
    <row r="17" spans="1:2" x14ac:dyDescent="0.3">
      <c r="A17" s="36" t="s">
        <v>158</v>
      </c>
      <c r="B17" s="38" t="s">
        <v>331</v>
      </c>
    </row>
    <row r="18" spans="1:2" x14ac:dyDescent="0.3">
      <c r="A18" s="30" t="s">
        <v>42</v>
      </c>
      <c r="B18" s="32" t="s">
        <v>320</v>
      </c>
    </row>
    <row r="19" spans="1:2" x14ac:dyDescent="0.3">
      <c r="A19" s="30" t="s">
        <v>49</v>
      </c>
      <c r="B19" s="32" t="s">
        <v>320</v>
      </c>
    </row>
    <row r="20" spans="1:2" x14ac:dyDescent="0.3">
      <c r="A20" s="33" t="s">
        <v>235</v>
      </c>
      <c r="B20" s="35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128e97-8526-477b-91f0-ba784a9be0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7CE96EAD90F65740B05D727AF4E070DC" ma:contentTypeVersion="13" ma:contentTypeDescription="Luo uusi asiakirja." ma:contentTypeScope="" ma:versionID="c418bbcf8afe20a1bfd811dd7c51349f">
  <xsd:schema xmlns:xsd="http://www.w3.org/2001/XMLSchema" xmlns:xs="http://www.w3.org/2001/XMLSchema" xmlns:p="http://schemas.microsoft.com/office/2006/metadata/properties" xmlns:ns3="ad128e97-8526-477b-91f0-ba784a9be050" xmlns:ns4="f2b0b608-21bd-43c8-ac5b-290b970e8918" targetNamespace="http://schemas.microsoft.com/office/2006/metadata/properties" ma:root="true" ma:fieldsID="5f4d582848729a3de4b3caa2e599f328" ns3:_="" ns4:_="">
    <xsd:import namespace="ad128e97-8526-477b-91f0-ba784a9be050"/>
    <xsd:import namespace="f2b0b608-21bd-43c8-ac5b-290b970e89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28e97-8526-477b-91f0-ba784a9be0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0b608-21bd-43c8-ac5b-290b970e8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Jakamisvihjeen hajautus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75C23D-77F6-42EF-A02B-9ECD52E57397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f2b0b608-21bd-43c8-ac5b-290b970e8918"/>
    <ds:schemaRef ds:uri="http://schemas.microsoft.com/office/2006/documentManagement/types"/>
    <ds:schemaRef ds:uri="http://schemas.openxmlformats.org/package/2006/metadata/core-properties"/>
    <ds:schemaRef ds:uri="ad128e97-8526-477b-91f0-ba784a9be05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CC0A477-EBF7-4C1A-A596-E219B8EAFF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36AC47-80A7-4300-AD3D-D46149B44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128e97-8526-477b-91f0-ba784a9be050"/>
    <ds:schemaRef ds:uri="f2b0b608-21bd-43c8-ac5b-290b970e89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Snyk</vt:lpstr>
      <vt:lpstr>SonarQube</vt:lpstr>
      <vt:lpstr>Dependencies</vt:lpstr>
      <vt:lpstr>Offical juice shop percentages</vt:lpstr>
      <vt:lpstr>Snyk percentage</vt:lpstr>
      <vt:lpstr>Sonar percentage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Ridvan Alhourani</dc:creator>
  <cp:keywords/>
  <dc:description/>
  <cp:lastModifiedBy>Ridvan Alhourani</cp:lastModifiedBy>
  <cp:revision/>
  <dcterms:created xsi:type="dcterms:W3CDTF">2025-11-17T10:59:13Z</dcterms:created>
  <dcterms:modified xsi:type="dcterms:W3CDTF">2026-01-03T12:35:24Z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0x0101007CE96EAD90F65740B05D727AF4E070DC</vt:lpwstr>
  </property>
</Properties>
</file>